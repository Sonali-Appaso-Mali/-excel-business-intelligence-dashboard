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Python Datasets\"/>
    </mc:Choice>
  </mc:AlternateContent>
  <xr:revisionPtr revIDLastSave="0" documentId="13_ncr:9_{1E09AFF2-684C-47FF-A89F-5CB08F53B606}" xr6:coauthVersionLast="47" xr6:coauthVersionMax="47" xr10:uidLastSave="{00000000-0000-0000-0000-000000000000}"/>
  <bookViews>
    <workbookView xWindow="-108" yWindow="-108" windowWidth="23256" windowHeight="12456" firstSheet="1" activeTab="6" xr2:uid="{A9A5E885-68FF-442E-968C-6BA766E84866}"/>
  </bookViews>
  <sheets>
    <sheet name="SalesByCategory" sheetId="2" r:id="rId1"/>
    <sheet name="ProfitGained" sheetId="3" r:id="rId2"/>
    <sheet name="MonthlySales" sheetId="4" r:id="rId3"/>
    <sheet name="Top5Customer" sheetId="5" r:id="rId4"/>
    <sheet name="SalesbyState" sheetId="6" r:id="rId5"/>
    <sheet name="sales data" sheetId="1" r:id="rId6"/>
    <sheet name="CustomerCount" sheetId="9" r:id="rId7"/>
    <sheet name="Sheet6" sheetId="8" r:id="rId8"/>
  </sheets>
  <definedNames>
    <definedName name="_xlchart.v2.0" hidden="1">SalesByCategory!$D$4:$D$17</definedName>
    <definedName name="_xlchart.v2.1" hidden="1">SalesByCategory!$E$4:$E$17</definedName>
    <definedName name="_xlchart.v5.10" hidden="1">SalesbyState!$D$3</definedName>
    <definedName name="_xlchart.v5.11" hidden="1">SalesbyState!$D$4:$D$9</definedName>
    <definedName name="_xlchart.v5.12" hidden="1">SalesbyState!$E$3</definedName>
    <definedName name="_xlchart.v5.13" hidden="1">SalesbyState!$E$4:$E$9</definedName>
    <definedName name="_xlchart.v5.2" hidden="1">SalesbyState!$D$3</definedName>
    <definedName name="_xlchart.v5.3" hidden="1">SalesbyState!$D$4:$D$9</definedName>
    <definedName name="_xlchart.v5.4" hidden="1">SalesbyState!$E$3</definedName>
    <definedName name="_xlchart.v5.5" hidden="1">SalesbyState!$E$4:$E$9</definedName>
    <definedName name="_xlchart.v5.6" hidden="1">SalesbyState!$D$3</definedName>
    <definedName name="_xlchart.v5.7" hidden="1">SalesbyState!$D$4:$D$9</definedName>
    <definedName name="_xlchart.v5.8" hidden="1">SalesbyState!$E$3</definedName>
    <definedName name="_xlchart.v5.9" hidden="1">SalesbyState!$E$4:$E$9</definedName>
    <definedName name="Slicer_Year">#N/A</definedName>
  </definedNames>
  <calcPr calcId="0"/>
  <pivotCaches>
    <pivotCache cacheId="20" r:id="rId9"/>
    <pivotCache cacheId="24"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6" l="1"/>
  <c r="E5" i="6"/>
  <c r="D6" i="6"/>
  <c r="E6" i="6"/>
  <c r="D7" i="6"/>
  <c r="E7" i="6"/>
  <c r="D8" i="6"/>
  <c r="E8" i="6"/>
  <c r="D9" i="6"/>
  <c r="E9"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alcChain>
</file>

<file path=xl/sharedStrings.xml><?xml version="1.0" encoding="utf-8"?>
<sst xmlns="http://schemas.openxmlformats.org/spreadsheetml/2006/main" count="2600" uniqueCount="69">
  <si>
    <t>Order Date</t>
  </si>
  <si>
    <t>Customer Name</t>
  </si>
  <si>
    <t>State</t>
  </si>
  <si>
    <t>Category</t>
  </si>
  <si>
    <t>Sub-Category</t>
  </si>
  <si>
    <t>Product Name</t>
  </si>
  <si>
    <t>Sales</t>
  </si>
  <si>
    <t>Quantity</t>
  </si>
  <si>
    <t>Profit</t>
  </si>
  <si>
    <t>Priya Patil</t>
  </si>
  <si>
    <t>Uttar Pradesh</t>
  </si>
  <si>
    <t>Office Supplies</t>
  </si>
  <si>
    <t>Binders</t>
  </si>
  <si>
    <t>Ring Binder</t>
  </si>
  <si>
    <t>Rohan Yadav</t>
  </si>
  <si>
    <t>Rajasthan</t>
  </si>
  <si>
    <t>Pooja More</t>
  </si>
  <si>
    <t>Furniture</t>
  </si>
  <si>
    <t>Beds</t>
  </si>
  <si>
    <t>King Size Bed</t>
  </si>
  <si>
    <t>Sneha Joshi</t>
  </si>
  <si>
    <t>Gujarat</t>
  </si>
  <si>
    <t>Technology</t>
  </si>
  <si>
    <t>Phones</t>
  </si>
  <si>
    <t>Samsung Galaxy</t>
  </si>
  <si>
    <t>Amit Sharma</t>
  </si>
  <si>
    <t>Chairs</t>
  </si>
  <si>
    <t>Plastic Chair</t>
  </si>
  <si>
    <t>Anjali Gupta</t>
  </si>
  <si>
    <t>Accessories</t>
  </si>
  <si>
    <t>Wireless Mouse</t>
  </si>
  <si>
    <t>Karnataka</t>
  </si>
  <si>
    <t>Paper</t>
  </si>
  <si>
    <t>A4 Paper Pack</t>
  </si>
  <si>
    <t>Neha Kulkarni</t>
  </si>
  <si>
    <t>Sofas</t>
  </si>
  <si>
    <t>Leather Sofa</t>
  </si>
  <si>
    <t>Pens</t>
  </si>
  <si>
    <t>Ball Pens Set</t>
  </si>
  <si>
    <t>Maharashtra</t>
  </si>
  <si>
    <t>Monitors</t>
  </si>
  <si>
    <t>LG Monitor</t>
  </si>
  <si>
    <t>Rahul Verma</t>
  </si>
  <si>
    <t>Laptops</t>
  </si>
  <si>
    <t>HP Pavilion</t>
  </si>
  <si>
    <t>Karan Desai</t>
  </si>
  <si>
    <t>Delhi</t>
  </si>
  <si>
    <t>Bookcases</t>
  </si>
  <si>
    <t>Wooden Bookcase</t>
  </si>
  <si>
    <t>Tables</t>
  </si>
  <si>
    <t>Dining Table</t>
  </si>
  <si>
    <t>Study Table</t>
  </si>
  <si>
    <t>Office Chair</t>
  </si>
  <si>
    <t>Storage</t>
  </si>
  <si>
    <t>Plastic Box</t>
  </si>
  <si>
    <t>Printers</t>
  </si>
  <si>
    <t>HP Printer</t>
  </si>
  <si>
    <t>Vikram Singh</t>
  </si>
  <si>
    <t>Keyboard</t>
  </si>
  <si>
    <t>Dell Inspiron</t>
  </si>
  <si>
    <t>iPhone</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</si>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</sst>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9" formatCode="dd/mm/yyyy"/>
    </dxf>
    <dxf>
      <numFmt numFmtId="1" formatCode="0"/>
    </dxf>
    <dxf>
      <numFmt numFmtId="2" formatCode="0.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[sales_dataset_2021_2024.csv.xlsx]ProfitGained!PivotTable5</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8648293963255"/>
          <c:y val="0.18055555555555552"/>
          <c:w val="0.73364041994750651"/>
          <c:h val="0.71204505686789155"/>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none"/>
          </c:marker>
          <c:cat>
            <c:strRef>
              <c:f>ProfitGained!$A$5:$A$8</c:f>
              <c:strCache>
                <c:ptCount val="4"/>
                <c:pt idx="0">
                  <c:v>2021</c:v>
                </c:pt>
                <c:pt idx="1">
                  <c:v>2022</c:v>
                </c:pt>
                <c:pt idx="2">
                  <c:v>2023</c:v>
                </c:pt>
                <c:pt idx="3">
                  <c:v>2024</c:v>
                </c:pt>
              </c:strCache>
            </c:strRef>
          </c:cat>
          <c:val>
            <c:numRef>
              <c:f>ProfitGained!$B$5:$B$8</c:f>
              <c:numCache>
                <c:formatCode>0.00</c:formatCode>
                <c:ptCount val="4"/>
                <c:pt idx="0">
                  <c:v>167362.29999999996</c:v>
                </c:pt>
                <c:pt idx="1">
                  <c:v>145354.12</c:v>
                </c:pt>
                <c:pt idx="2">
                  <c:v>109147.25999999998</c:v>
                </c:pt>
                <c:pt idx="3">
                  <c:v>123893.03999999998</c:v>
                </c:pt>
              </c:numCache>
            </c:numRef>
          </c:val>
          <c:smooth val="0"/>
          <c:extLst>
            <c:ext xmlns:c16="http://schemas.microsoft.com/office/drawing/2014/chart" uri="{C3380CC4-5D6E-409C-BE32-E72D297353CC}">
              <c16:uniqueId val="{00000000-1871-4449-AD14-E06A75FA66BC}"/>
            </c:ext>
          </c:extLst>
        </c:ser>
        <c:ser>
          <c:idx val="1"/>
          <c:order val="1"/>
          <c:tx>
            <c:strRef>
              <c:f>ProfitGained!$C$3:$C$4</c:f>
              <c:strCache>
                <c:ptCount val="1"/>
                <c:pt idx="0">
                  <c:v>Office Supplies</c:v>
                </c:pt>
              </c:strCache>
            </c:strRef>
          </c:tx>
          <c:spPr>
            <a:ln w="28575" cap="rnd">
              <a:solidFill>
                <a:schemeClr val="accent2"/>
              </a:solidFill>
              <a:round/>
            </a:ln>
            <a:effectLst/>
          </c:spPr>
          <c:marker>
            <c:symbol val="none"/>
          </c:marker>
          <c:cat>
            <c:strRef>
              <c:f>ProfitGained!$A$5:$A$8</c:f>
              <c:strCache>
                <c:ptCount val="4"/>
                <c:pt idx="0">
                  <c:v>2021</c:v>
                </c:pt>
                <c:pt idx="1">
                  <c:v>2022</c:v>
                </c:pt>
                <c:pt idx="2">
                  <c:v>2023</c:v>
                </c:pt>
                <c:pt idx="3">
                  <c:v>2024</c:v>
                </c:pt>
              </c:strCache>
            </c:strRef>
          </c:cat>
          <c:val>
            <c:numRef>
              <c:f>ProfitGained!$C$5:$C$8</c:f>
              <c:numCache>
                <c:formatCode>0.00</c:formatCode>
                <c:ptCount val="4"/>
                <c:pt idx="0">
                  <c:v>156983.07000000004</c:v>
                </c:pt>
                <c:pt idx="1">
                  <c:v>118342.93000000001</c:v>
                </c:pt>
                <c:pt idx="2">
                  <c:v>173751.05999999997</c:v>
                </c:pt>
                <c:pt idx="3">
                  <c:v>166164.79000000004</c:v>
                </c:pt>
              </c:numCache>
            </c:numRef>
          </c:val>
          <c:smooth val="0"/>
          <c:extLst>
            <c:ext xmlns:c16="http://schemas.microsoft.com/office/drawing/2014/chart" uri="{C3380CC4-5D6E-409C-BE32-E72D297353CC}">
              <c16:uniqueId val="{00000001-1871-4449-AD14-E06A75FA66BC}"/>
            </c:ext>
          </c:extLst>
        </c:ser>
        <c:ser>
          <c:idx val="2"/>
          <c:order val="2"/>
          <c:tx>
            <c:strRef>
              <c:f>ProfitGained!$D$3:$D$4</c:f>
              <c:strCache>
                <c:ptCount val="1"/>
                <c:pt idx="0">
                  <c:v>Technology</c:v>
                </c:pt>
              </c:strCache>
            </c:strRef>
          </c:tx>
          <c:spPr>
            <a:ln w="28575" cap="rnd">
              <a:solidFill>
                <a:schemeClr val="accent3"/>
              </a:solidFill>
              <a:round/>
            </a:ln>
            <a:effectLst/>
          </c:spPr>
          <c:marker>
            <c:symbol val="none"/>
          </c:marker>
          <c:cat>
            <c:strRef>
              <c:f>ProfitGained!$A$5:$A$8</c:f>
              <c:strCache>
                <c:ptCount val="4"/>
                <c:pt idx="0">
                  <c:v>2021</c:v>
                </c:pt>
                <c:pt idx="1">
                  <c:v>2022</c:v>
                </c:pt>
                <c:pt idx="2">
                  <c:v>2023</c:v>
                </c:pt>
                <c:pt idx="3">
                  <c:v>2024</c:v>
                </c:pt>
              </c:strCache>
            </c:strRef>
          </c:cat>
          <c:val>
            <c:numRef>
              <c:f>ProfitGained!$D$5:$D$8</c:f>
              <c:numCache>
                <c:formatCode>0.00</c:formatCode>
                <c:ptCount val="4"/>
                <c:pt idx="0">
                  <c:v>139535.81</c:v>
                </c:pt>
                <c:pt idx="1">
                  <c:v>149212.59000000003</c:v>
                </c:pt>
                <c:pt idx="2">
                  <c:v>206550.72000000003</c:v>
                </c:pt>
                <c:pt idx="3">
                  <c:v>175521.16</c:v>
                </c:pt>
              </c:numCache>
            </c:numRef>
          </c:val>
          <c:smooth val="0"/>
          <c:extLst>
            <c:ext xmlns:c16="http://schemas.microsoft.com/office/drawing/2014/chart" uri="{C3380CC4-5D6E-409C-BE32-E72D297353CC}">
              <c16:uniqueId val="{00000002-1871-4449-AD14-E06A75FA66BC}"/>
            </c:ext>
          </c:extLst>
        </c:ser>
        <c:dLbls>
          <c:showLegendKey val="0"/>
          <c:showVal val="0"/>
          <c:showCatName val="0"/>
          <c:showSerName val="0"/>
          <c:showPercent val="0"/>
          <c:showBubbleSize val="0"/>
        </c:dLbls>
        <c:smooth val="0"/>
        <c:axId val="890326143"/>
        <c:axId val="890326623"/>
      </c:lineChart>
      <c:catAx>
        <c:axId val="89032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26623"/>
        <c:crosses val="autoZero"/>
        <c:auto val="1"/>
        <c:lblAlgn val="ctr"/>
        <c:lblOffset val="100"/>
        <c:noMultiLvlLbl val="0"/>
      </c:catAx>
      <c:valAx>
        <c:axId val="8903266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26143"/>
        <c:crosses val="autoZero"/>
        <c:crossBetween val="between"/>
      </c:valAx>
      <c:spPr>
        <a:noFill/>
        <a:ln>
          <a:noFill/>
        </a:ln>
        <a:effectLst/>
      </c:spPr>
    </c:plotArea>
    <c:legend>
      <c:legendPos val="r"/>
      <c:layout>
        <c:manualLayout>
          <c:xMode val="edge"/>
          <c:yMode val="edge"/>
          <c:x val="0.12558245844269464"/>
          <c:y val="3.8993146689997087E-2"/>
          <c:w val="0.74941754155730533"/>
          <c:h val="0.111828156897054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[sales_dataset_2021_2024.csv.xlsx]MonthlySales!PivotTable6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0.0</c:formatCode>
                <c:ptCount val="12"/>
                <c:pt idx="0">
                  <c:v>266822</c:v>
                </c:pt>
                <c:pt idx="1">
                  <c:v>375540</c:v>
                </c:pt>
                <c:pt idx="2">
                  <c:v>349250</c:v>
                </c:pt>
                <c:pt idx="3">
                  <c:v>368865</c:v>
                </c:pt>
                <c:pt idx="4">
                  <c:v>320988</c:v>
                </c:pt>
                <c:pt idx="5">
                  <c:v>368114</c:v>
                </c:pt>
                <c:pt idx="6">
                  <c:v>197382</c:v>
                </c:pt>
                <c:pt idx="7">
                  <c:v>479543</c:v>
                </c:pt>
                <c:pt idx="8">
                  <c:v>343852</c:v>
                </c:pt>
                <c:pt idx="9">
                  <c:v>245265</c:v>
                </c:pt>
                <c:pt idx="10">
                  <c:v>255412</c:v>
                </c:pt>
                <c:pt idx="11">
                  <c:v>317751</c:v>
                </c:pt>
              </c:numCache>
            </c:numRef>
          </c:val>
          <c:extLst>
            <c:ext xmlns:c16="http://schemas.microsoft.com/office/drawing/2014/chart" uri="{C3380CC4-5D6E-409C-BE32-E72D297353CC}">
              <c16:uniqueId val="{00000000-E282-43E4-BAB3-1562AF9B573E}"/>
            </c:ext>
          </c:extLst>
        </c:ser>
        <c:dLbls>
          <c:showLegendKey val="0"/>
          <c:showVal val="0"/>
          <c:showCatName val="0"/>
          <c:showSerName val="0"/>
          <c:showPercent val="0"/>
          <c:showBubbleSize val="0"/>
        </c:dLbls>
        <c:axId val="890272863"/>
        <c:axId val="890274303"/>
      </c:areaChart>
      <c:catAx>
        <c:axId val="890272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274303"/>
        <c:crosses val="autoZero"/>
        <c:auto val="1"/>
        <c:lblAlgn val="ctr"/>
        <c:lblOffset val="100"/>
        <c:noMultiLvlLbl val="0"/>
      </c:catAx>
      <c:valAx>
        <c:axId val="8902743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272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Top5Customer!$D$4:$D$8</c:f>
              <c:strCache>
                <c:ptCount val="5"/>
                <c:pt idx="0">
                  <c:v>Vikram Singh</c:v>
                </c:pt>
                <c:pt idx="1">
                  <c:v>Karan Desai</c:v>
                </c:pt>
                <c:pt idx="2">
                  <c:v>Priya Patil</c:v>
                </c:pt>
                <c:pt idx="3">
                  <c:v>Rahul Verma</c:v>
                </c:pt>
                <c:pt idx="4">
                  <c:v>Rohan Yadav</c:v>
                </c:pt>
              </c:strCache>
            </c:strRef>
          </c:cat>
          <c:val>
            <c:numRef>
              <c:f>Top5Customer!$E$4:$E$8</c:f>
              <c:numCache>
                <c:formatCode>0.00</c:formatCode>
                <c:ptCount val="5"/>
                <c:pt idx="0">
                  <c:v>214547.41999999998</c:v>
                </c:pt>
                <c:pt idx="1">
                  <c:v>209527.07</c:v>
                </c:pt>
                <c:pt idx="2">
                  <c:v>206073.37999999995</c:v>
                </c:pt>
                <c:pt idx="3">
                  <c:v>198477.68999999994</c:v>
                </c:pt>
                <c:pt idx="4">
                  <c:v>188631.39</c:v>
                </c:pt>
              </c:numCache>
            </c:numRef>
          </c:val>
          <c:extLst>
            <c:ext xmlns:c16="http://schemas.microsoft.com/office/drawing/2014/chart" uri="{C3380CC4-5D6E-409C-BE32-E72D297353CC}">
              <c16:uniqueId val="{00000000-A2DF-4C36-8A5A-D85C4607306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[sales_dataset_2021_2024.csv.xlsx]CustomerCount!PivotTable9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'CustomerCount'!$E$22</c:f>
              <c:strCache>
                <c:ptCount val="1"/>
                <c:pt idx="0">
                  <c:v>Total</c:v>
                </c:pt>
              </c:strCache>
            </c:strRef>
          </c:tx>
          <c:spPr>
            <a:solidFill>
              <a:schemeClr val="accent1"/>
            </a:solidFill>
            <a:ln>
              <a:noFill/>
            </a:ln>
            <a:effectLst/>
          </c:spPr>
          <c:invertIfNegative val="0"/>
          <c:cat>
            <c:strRef>
              <c:f>'CustomerCount'!$D$23:$D$26</c:f>
              <c:strCache>
                <c:ptCount val="4"/>
                <c:pt idx="0">
                  <c:v>2021</c:v>
                </c:pt>
                <c:pt idx="1">
                  <c:v>2022</c:v>
                </c:pt>
                <c:pt idx="2">
                  <c:v>2023</c:v>
                </c:pt>
                <c:pt idx="3">
                  <c:v>2024</c:v>
                </c:pt>
              </c:strCache>
            </c:strRef>
          </c:cat>
          <c:val>
            <c:numRef>
              <c:f>'CustomerCount'!$E$23:$E$26</c:f>
              <c:numCache>
                <c:formatCode>General</c:formatCode>
                <c:ptCount val="4"/>
                <c:pt idx="0">
                  <c:v>10</c:v>
                </c:pt>
                <c:pt idx="1">
                  <c:v>10</c:v>
                </c:pt>
                <c:pt idx="2">
                  <c:v>10</c:v>
                </c:pt>
                <c:pt idx="3">
                  <c:v>10</c:v>
                </c:pt>
              </c:numCache>
            </c:numRef>
          </c:val>
          <c:extLst>
            <c:ext xmlns:c16="http://schemas.microsoft.com/office/drawing/2014/chart" uri="{C3380CC4-5D6E-409C-BE32-E72D297353CC}">
              <c16:uniqueId val="{00000000-A192-4076-9140-15490C75491D}"/>
            </c:ext>
          </c:extLst>
        </c:ser>
        <c:dLbls>
          <c:showLegendKey val="0"/>
          <c:showVal val="0"/>
          <c:showCatName val="0"/>
          <c:showSerName val="0"/>
          <c:showPercent val="0"/>
          <c:showBubbleSize val="0"/>
        </c:dLbls>
        <c:gapWidth val="182"/>
        <c:axId val="1008900095"/>
        <c:axId val="1008901055"/>
      </c:barChart>
      <c:catAx>
        <c:axId val="100890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01055"/>
        <c:crosses val="autoZero"/>
        <c:auto val="1"/>
        <c:lblAlgn val="ctr"/>
        <c:lblOffset val="100"/>
        <c:noMultiLvlLbl val="0"/>
      </c:catAx>
      <c:valAx>
        <c:axId val="100890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0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3D5E13F8-5579-43CD-8914-637695AE9A2F}">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155C051E-4A8E-4553-A7E1-217E6005CECE}">
          <cx:dataId val="0"/>
          <cx:layoutPr>
            <cx:geography cultureLanguage="en-US" cultureRegion="IN" attribution="Powered by Bing">
              <cx:geoCache provider="{E9337A44-BEBE-4D9F-B70C-5C5E7DAFC167}">
                <cx:binary>1H1rc9w20u5fSfnzoUPcwa3NW3U4w6Eky3cnjvOFJdsyCV5BgODt1789STYlYSVrF7V16qy/pKLR
NJvdeLobjQetv39Z//alvb0xP6xd29u/fVl/elZNk/7bjz/aL9Vtd2Ofd+qLGezwbXr+Zeh+HL59
U19uf/xqbhbVlz/iGNEfv1Q3Zrpdn/3P30FaeTtcD19uJjX0b92t2d7dWtdO9jufPfjRD18G10/n
r5cg6adnl/1XdfPsh9t+UtP2YdO3Pz279xvPfvjRl/NPz/yhBbUm9xW+i/FzwrAklCd//nv2Qzv0
5Z8fi+Q54YTImJL493/iH49+ddPB15/U5nddbr5+NbfW/vDnf//62j3F//qpssPhj3c+DGcVL1/9
/k4/3rfp//zd+wG8pfeTO2b3TfLUR6Bqp/qjspNRXyb007MXN6a/mW4az/T3fu3fND2izwWKKaYU
/2FbdN/0/DniIkGMkD88Q+6b/l/S6GHz3/nqvReA1/y/zx5ZcP9feuV421bqH2b5Awz3Xujf9AiW
zzkFc8ecP+gR8RwhRoVk6A+P8H88+g8wPKnNw97482v3FP/p2fH6v8oTL28g9t3YajL/SYQkzynD
sSQsedAfgJBYJgTTP0MXu++Pf1Gnh71y78ueb15e/Ff5Jnc1+Gb6h3H+AzjBz3mCORKPRC70nCUi
5gCWB3HyL+jzsE/++qLnj/zqv8of727qGztVN/1/0CP8OZOUcY7+zCX4fi4hzyWAJObJn5HLQ8q/
pNHDPrnzVc8r7/67vPLzNEH198bcfL211X/UMwkmDMDwRwiL72d5GT8Hr/1egj2Y5f9lrR72jvd1
z0M/v/l/i5vH67O/StQjFFnZ77XtnRLt+5/+/uZQbXtf/V6J/Ef1fPn1p2cIQVn1V8V8FvHn9x6o
b//6/VuA70/PEvGcIiQIY1A9Q6XGk2c/LLfnT7h8jhIoEmQMiUvimIDP+8FM1U/PiHgeC8FZwgGM
BBIbffaDHdz5I/5ccKizEymwoAjqcfzXRuLN0G7l0P9lhz///4fedW8G1U/2p2cgR//xW2c1I4yo
oIKxBJCuv9y8gz0K/BL6P7ZYi6FRCb+o0DFhr+0MKP3r/f8Nuefn3ZGbYDVz264im1jVVum+b9vH
CvP1j+L9j9r93xAPXrkrvhZRsy1rL7LKjMa8W/gelx/KdR++fV99KNEeNAvEx7vyk25vpGsKniWY
2f2tRl0SpxWpGUpjGnc4pWScitP3H/aYD8D9dx9mwff1UvY8Wy2RJJUxKU06bFz+9n35sPl68GXi
+/JFMsa6TjaeOaTpS4QW2r1f4jrm15uc+jWPxM5N2m2jfvf9Bz7yQhJW+t0X0jLWszg/cG4TsV4N
lSvcgVpXqez7DzgLemDVSnn/AVLtSzw5wrKlsWK54hsp8EE3FlfXrKlq/BK5xjWH0Y79JtK4pWg8
xX01G6jUvre60dl0DylwNvWd5a1FZxtmN5a5spzHg8QyFwR90w0ZlyYdy2XuUreJ6HpYStRkDg+D
7NOolLiDQv57Kjxm4/PKvaNBW27d3LIFTCAxOxAzfBNsUU+832PCvagwAFIXuU0s2zYrfo2HbUiL
2dWvw1Q/P/Wu6rJW3BLDsoYodRtDE+W6j1TjDmHivdgwRAvTY8VY1k5i/gUtI03XYhdhkUd6kcG0
S601Hlk2DdG+Z/EazebI9TCIQPW9aIDXEsmtrSEaDNTVh43zlabjCFA6ft8+j8Q27oGnS+aF1a4U
edfasXgnum50v5BxT+KrKaoS8RZyC+GX33/YYyvJiz243qJ+sDrK+2ET/I1VsCf8pZum6FuQfOGF
GitjFy8rk/k+oC7bShqZdFWNNU9447ziHwC68IyVDA1tHd6KfIjk3p0Wg/SctcuG1HFUFU0CH+PF
E0KHQi46Evk0OTxd9Hzo42zvUbtmWk3LGoZr4QWNcZjHgqydzDVu9g+N2arXveDJh+/74jFbeVFj
aVaJFqhxchytKmutEeS6pNswfmyYbNYnTPXIihLnn9+JHpUsdSOFlrlp6XYZdXv8OimRadPvv8Rj
4sl98UOhthiMw3MnRrymcb3ST3wfdBYm3gsfbhaDkNBQyucWPDC1ZZdRFwkdqL0XPJwi/dZutcyp
nRvwwSbXKLXxpvbAB3h4bpKIjckK1k9QN/aXGrF+yUwt9uVNkIHOVfJd9wq8EYuileeJrdQvQlr7
ZlXluIXpzz2gic1APy9mIteETupi2smapFXTLXEYxLgHsVVtI5+wEXljS00vbYdnmdaOmqdy8zny
PBCRuIeyrazLuFvAxWOxaXOsSyLEmy7aZ35VTkXXZGuJt/7XtpPkN9eXS/9EJH+s5uEe8Nq1LMSw
LxAKW9nqqyqyhYDKvkmgrJPTUtMp7ad6nw+q4ro7NeteiiOnCxnez/HEXaCBPYBuBY+EbKIi70Tk
jkQtIpeiJU+sD3RGykPmxffXH5unVY14THIS72bIdlTMU8aKfW8vdELE9rq03fBNR3TpLugue/Zq
JQT3L7GQsv5VNpixJ1R5JBJxD8uyr5keFkVzLQpLDnxPbvW6LmNYHOUekltDONrWWuQm0kteToi2
aUlk+TUIx8zDsUOGy7ouaV7qVX5ikN1e2TjqwsIoO4PjThIYSdnXUSSSnLWwkzk4JLs9dcps9olV
9gjKmBcnrBo3hlcj82lbCnwpqTHx51UjQFyFq3hIe+V0l+Kd6/KL7naLw9zCvPhBlr6FRWR4zmXR
uVSP2Hbp5mgUGMGZFz92ujej40ZkbmQo49tcHnc+RMcwt3tBghdJ3NfjuufWlVO+96JOudH1EzHo
EUgwD/scxVW0Qqma11h1Bzyh+lhsAw5cVB70YdczSKSGPcewb0zjCn3sS/pUIfmY6h6aEdc9Xdty
z0uxTS/d1seQnscK1YHrxoNzVbtJE7PteVR0ySWe1+ZYEEnzILdSD81Ez0xPDUifCkwPCxE2tR1S
YbpTD82yx7ucBbg1mnB1aIibU94IGhZHqQflOo5MvBR2z0ek2pNN+vIwM7qfvm+ZM2weyBfUw2tf
sGrfUbTkS8RuYdvZzCc6NbrPp0XwwDfwIEtmMfd1Uyw5AeC+S6ahzhAdmrDtOPUgO/VQCi07X/IB
TgwuZcLcsd76wHBDPciiqWsLudcuL21LX6i2Ey/12gaq7iEWEnXRNIhM+TjUBToYhu1BVGtTHb/v
3EdASz3QsqK0TbRDm0f3ar1qpnK6dkXRBoLKgyz0R6MZuXo6GVcu9j1ZYtm+ZkbyKmzdEA+1DVLz
WM54hZLQ7YdGs09bsvVPLPxHbEM80LI6aqiUxZyNbYVSYh1OxyRxgap7oCW6prio5QyWjz4ZDPVd
n6xFmFuJh9lG7yaKLP9TdYpHnLKZh6ruo5XJwskKzVmyQNMYn6XbcMOc3XGn8mniWRetBelrnVQH
JxuXco7rQLN7aK0ok0OMY5BO8e2oaHsqVRnY2SIeWhugUklVgvBkd13eisTAzouvYbXB+RDlrmHW
iYii3Zo5Y1OxpCuacYp0MYWlKOJhtas07gcSu6yf9z5dKnXr6h2FWR17OLW7mfRQLS7rmoqmnLJP
0WxxoHAPp3HBDNmqaMrEGPdHu6ob63YbKNyD6WiTtYZK2GU1T6qU16pNncEiULqHU0HqqFRRAqon
Dr20cDzyphBlG3ZEhT2cro7inoLkfEdA5Ev3XnJ2jKZI2rA1gz2o4nFNOqfLOd9o15s0IprlesHT
l6DkhD2sIlVgM6wdZNbCtldJbdHRNvWWhUnH9+HkTKFJuTGXTwn5DdX4raXkbZhoH6l2q7tti6Zc
VdErCI+fNiwC23fYw2miVCdQL6a8Xip5dBX7MDTFEOZQ5OG0b2xkEulcHqlJHdpaXAs8xmGLHXk4
hWPhRdtVRlnfrl/Vhj5i1r0IMjjyUCrVUkaQr7ccxNop3bGteLpZUoaFXuThdC6Zqxpqphw4C/Gv
dII4kFq1o7BKA3lAdWOL47YYXN4NZj8Oq/hcKV0Emt0DaSHVKGZlXM42sx26ToPqzVMnr2chD2wO
zuSBuzkp6TlVOuqmHE77k5fSluhlGxX6Y5hbPYjiCU8GCKmwHKuiSkm3/CqkCnSph9GdDkldVI3L
DZtJiuT6qR3lmzC9PYzSha6LIiA7qu0H6raXjNqXQaJjD6HDUhTlRMopi4soOkR1ca32OLA/EHsI
RUhrsUc4ynicvO428UmarQ0LLbEH0aiCOt0MYJO26t8O5XAquiosksceOqleNrJCTz0b9vnCLPgF
ZWEZNPaAqTc28UHD3o535bUc1rw3Rdgxa+zBUrXTWjkHSuvu5312h1r8ErZCPEi2SW303oATadV8
NmvyVu48LE7FHh7dODfrtvAp32yNPuzbhPPaEXsMU9xDJOmLta9VMuU2AioB7puLpEh+DZPtIbJp
lWVAPo8ypqC6jWJ+QxMSltiAV3g/CMLCHsc2hpRcKb6mzNLomCRiDgIOTTxQSjuLibI5ykb+3gxH
CV3sEJvQxENkVVYjHattyp0EMsdCrE7RyD+ECfcwucD5+7b1hc1QpS+WFs72R1JPQSuF+pwu41zc
RC0Ily17Q5z+ouhmAq3i4TKhbItHmdjMdOQNA9mrm0Nle9BEixKErAjaxpjE106W9dVIVx5oFQ+d
laVzC/UsLBS283SP659bXgUVWDTxsLkmji5NAshfyTbVh5gWfDhiqIBUUGihiQdQvXS0gLOaKS+p
vomW+SMcPvwctBR9stZMSGw4Abs4V7Lj6BqVEolFUB0BDaH74DfVLKAfvYLi6/rGDfHVOo+BCJUe
QutOxFRUxOayIS9bIBxmUggcZnHpIdSVBjiXbp7yWLdvadQealMFFSlUemnTsKjfStLZHGOGD0uH
zAHR+luYOz2AbnCiYGU3WSAY8E+lXa+UYO/DRHv4XM1UNBJHJt9Qu6TtIMZT39VhzAjqE6sGtvTJ
DPSdHI6Q9mO/D68EsWHH/lR6AHUa26ZCi8kHoL+0qXUmehHN8fYuzDIePJeIQFSkDjw6b18tVHCr
lZ+DRPsEpwkST6X5YPOGl+9WrS/jrgtbhz63aS5kw+uWmnyfxyqblxIfo7b/Eqa3B06108KatbF5
UulDQ7dXnXyq7Dzj5J93VdRnMS0R9INnLUxedTNzqRG8fjlyvaZLjd12CNPfAylr+rVvBmbyVpHf
2op+jHTzIUy0B9EVGI8tF4UB/M/2YrYGpWimYUd1VHgoLXHFlCEYFKfoYzdHfUoj/UuY5n4OXUfd
mLiyOcOKLtlO3EbTXrZVE5akhYdTWpWldLKFJblGb1WHP6gxbC9OhYfRVrERNswgutiSt1OsXheE
Bx1Dwd3Y+0mulVvRjfNmclJ0OI8knt6iclFBTF/q8zWxmGM2K1iJRbxv6WbGnNBAwhj1+VDdWkTT
aiuT97OO03gWp3Epw7rDcOvhvl0mQ52jCZgcwuOLecMvWraGYchnQSVL2bp6LE0uirJPxb69SIwK
OzejPtMpgVUSr7gxORrmNwSN1yaeAvX20GkUnE7wJRpzy+VHhczbthmDNnGUe+AsVto1pa5NzsEy
aQIk9HTcOhkWD3020kTqMaqHZIRzm2o8GNy8dVESVoL6VKQ4hn1Wz+IxLxXp6nSBRkXm4oiHGcan
ItV1Aqy0egPcJFt3kI7zd62K9zCP+lSkuWa8AK7dmO+JwQdk6SvIpGGn59SnIbmolwNbB1guQ0Lj
BmLt1tgqlcncBPVw4IT/PkaBnhsn5dqD7ctqEYcemmd5UdAx7ByB+nSjrXFOmq7QuYxsMx7mRXff
XCKWwE0jo/f1Rx2O6ZJEOjfVZo9dyesULMROQQnPJxwJsa4ynmOdu5bjQ8yBV05g95uGSfcQO7XA
wLOk17mlopxStOPmptnWvgyU72XTVRlulhVsM1T1kKqp+3ltUVjOY346xcPSRcKB3XupLzYb29PS
DtVFkGV8vtFMZrLpdtF5XbD9YzwU5QVctNdNmGF8whGBOMnwBm5N+mK0J+Fg4kXKioGPgQ/wql84
jGuGXs9geWKXS2Pkz9XYhvXmqU85Ek2HgWNsdC7o9F6V9u3STO/D7O5VvWWxLaRtyzEXffJbPywo
rSh9ilt7huQDdbtPNBqhZS4j1+mcmFr+JuBQ4cI13Ry4ZLzMOsXRuu2EDTkgNUk5UF/SaItEFmYY
D6pmi+CMvgXpbN5cypC+avqnWEy/l6APGcbD6ahWoNdJPOQzb8oihdPiGoKNUGtzKLukbC46vS3v
XWfbS2JJxPOpqkb2Aa64ifEN9P+seZ+Ijl80cC45XNRNT3kqWgXN+HIdZbykO61H8/My4sgd4m3s
m5uhqqLxwKGwxEfEoNeeCe1Wd2wRdMkOHE6p10s3RrLOsVgrelkM9bIdUAzdhF8jYPZuJ0RqK45E
rCBzadW0n8oxqSzctsO7O3UYr/vRzh3pf1sFpcWbifKo/mwRG8dc7jiZc7PC+x71tLOsjmcmD73A
qDnwTZTuokRDmVxz2cO9sHjc8XsskyWdMTeXWlmz5/GQyO20dO1Mj7OhJctmsVBoYbfVTA9lq7sB
6tkk2Q7SKCLSblAGvVj6ok4uW4Immu9g7eXASDNf7nvUvTL9HNMjjed5T+vCFPv7FtWDCKtCqBcw
u5U63jgy5JxVA3R9ohSXJAmLNz7Ti9Big0Ky1XnFu9uCNu8LocL09nleM5zErC0GvZkrcpu0VwVD
Yc1B4kVJNgMzBUEHKcdJsqZFlDRp0qIh0CZeZWPikvAGDu3yEtd1ujbjN16bsKKPeHGyhuutcy/i
IXeb06/ggpa6GMjUhYUy4tU0FVex6zG3eWkaek2hfgXmv5s+BYUy4gVK05XzPOt5yBtZul+MHHdo
5vdyCjS7FynHXk1wTSQZ8gSayinD9XW1l2GXv6hP8ooBwoxKPeTboIvuOMRLna9jrAJ3OT7NC/UK
7RGBFcnLjq0Ztr3bUxGxZjwGGd+nek3duBRRNQ05HFR9WzS9YpENu9FBsbxfCmu3mHncxJBXcQI8
ssmKtT2QpMbfwnT34DqzcSezwzpvx2SXqRhGAmfsEuMwLgbFHmIX3bcoXksoEGB8WurEUmdKqcAC
wed7abEU9V5CCoczGnMARhk/6GiJ8zDjeJhdYrgqzVQ/wEXXtr3iZGZTykfDw/j91Gd72bovgcg0
QBjunbiqehL/BnvaLawVjD3QirUb985CvQqtrPWyoIXLRTyJwEXv1TeYtC5R5+xUq6482GUsUzd1
XVjA8SlfyKDVrbBPzqOtJ7cVsM1v9851YcxP6pO+GCZ9XdWNzhkXc3TZJD06xMWysCfODh+5V0d9
4hdcNy0K3so+31tEzAfdqHk4FKLH+rjYIfoAF85eRVHS1keo4prkUCawGT1VEWNDmPd9fhjc0+Wx
q6H+XLaxkoeoq2EARVf1ug3bRvsEMR6THfYs58hUTKh40akS7p1t4zbFYd0pnyK2x87AjVfc54Qg
1aTrUi80rRs6BxZYyIM3t3tnegwP2BwG2vLuPgJ7/0tQ6PBZYu3UbVPi9j7XpreHtSTf9omFKu4h
uxx3ZG0juhxq21OLmyuMbVgL4PcrlHeo6F0UxeUCE0Tyic720EQUjhqW/V2YUbxyeapaU6Jl7vPC
GZm5Cpdpx1RgqvR5YouA4Zk9eDRXZo0+d/VCvpgI0k2Q7j5RzNa0H2iPuhxqrVdi3l+0Y/nELJfz
entgq+jzxMoVzhm5Gfrcrri6Qq2RKQwCXcKSmE8VWxqu5NyQLieNHMq0lnK8qoTrqzCY+oQxmqwD
4X3c5YL19WFM5EVD0RaWB3zKmNF9WRaJ6vOEVsu1NR09iKme337fp+fK/iHDe1VzsjTbvCDI7+1O
Ryj5Y1smWRujYcg47Or6oBqL+NwdmP5RFHoybb4b8Rk26i87UX38/hs8vHTIeZTUXTIqnWM4GoTr
WHBDcCjqdLRuvl3IGDZ6gCSegRTUyn1V9G2eaFlAd8fKy44zFwQpAsOu7ik/4NqtuwHli7KCPT7C
OoWREmHhgPj8nYTvYmMWmh1omdB27BUc/h7qvq/nsJ2uTw2UGy8kJ+WQx45MOgU/1OeIGSfDMcS5
9Dw27q5zu0jZcU4UhByG37spfleiIsj0NPYiMcwMmWRsQHdomrKjMnBCszvUB6EWZtfeV7yHGBM1
QPbMkDDFu3mL9Pu+YmGX1GBY2n3preqRi7Ftz6lVvtUdYfmkmAwyOvEpghqaRnHRnZd8Bc2mYZRv
I1qqQMN4myG3Tf3mNtUC8QMmcx3gTun4aW+TYQ6U77lVzkuhobJtc1Tx7SjLOH4zwH2+dyHrEc5E
7ht+4wo6XMsYHUtUrsNVHaP4FcaauScA9Xun5Z/jMfGJZTCYF6+cO4hm3LHu9YhQ7y5UM4/mBBsx
h08wS4/b48jadbiONtgVXGtRj90njAg9OY73S0GjjaXJXjiYrrBFTfO669mKD904buqwl1Wxfx6K
TblTryHnHhyr1y+ko/TFrOvpalPVfCKFW0AEzMCo0rhTdP9QIbjf8rY5z6n40Cup7RE2bHSHT81y
qGJgfr6qdRXtR/htq14SXAxzUCFJfEIc8BpHfL6QnJUFql/NSZNcY4XLsARLfErcEDVsgO5ok+M1
vuV4fJug8k3Ycjln3TulJOw1ty7iS5OTHXi2LaaXeLBPDdI4I+ahpeIlPueirtzt2uSjhlkdl8bu
7XJMNmA9HBfYIZSXPOFt9SnsTbw0iMaEcTqzJo90xDPaLO1p1235c5h0fN9O1VY42COSJp8HWh2j
Yv841fgpO52N/ZCdvByC4lK5xrgm561T74FVTV/Lqlxv1hpFT3Q2H3uEF3TiIhEl1mOT2ZU0/FhN
oxlVOhtotl+qBW60PbGpfsTlPmsO6Amlm3lbZjC5vmlOjq0I2GFRm6lul/gAjO6wrhLxSXRlBb2T
wrRgtB5HQHTjHyEQBdZUwuu4RTBwBBoBfZMjOI6byHKaCHoiQD/iCZ9EJwhwOXe4g3tsylFMl0lr
2WmQCZz783Ju4yB2ARHnp9/BNQPZXCkRwZgOGCQId93LX5NRhF1tJf4oMLslo1KbqXMh2HQCzrVM
iwqFbVaIT6SbFbQiiUNVrqikJz1v3VEmKmgfR4QH5Jhr1LaiLY5oVldxQVI68ECbezDeSNzaYQLR
+06zIhlPncJB+0Pic+g2GISmbNIUx0bhF4JFL0Ye1sUjPocOaIXnQbiqOOp6Ga9qa6c8YuR9UNj0
KXQFE9W8kQgWOyptprWh6Za09BQm3UNpnDSmYHGkcqGsfgGs149juYUNhyU+h67kooxm7FTebrg9
uWTqL+KxDaOiEp9GF20rnKd0RuWqrsejruR1JIzNwuzi5d21jkdnyZAcp46q9YTx8rM2TRPWVIS/
O3I/tlRDMo0t7ZNjP4+vmnbIazOEJXGfSrdV61p2JRRS7eRU2rs+PuwteyLynl//gTTrM+lmYOfv
cMMPQGTnIQXW2EFzmCgcZnMvwe4wpMfOk1Zwa6nbDn2phzEtTJ+EEdJgIPV9oyfdBncuGpbARath
x6lsC/NiWBsVdg+S+Gw6x/uiFyNJjt2yw5ntW2ABPGGZ31u1D9jd59JRviMYTlVWOdoiMr+IVcfg
glEJszw/wKSkIVcs2UkqxrljGYfu2nIYp4bNMCFT8+00uiQes12jEt90guE5LyRRIqgDT6iXJ9tk
IjuRzGZKrObEiglmCkdN2Lka8Yk3ZMFkb5vJZmTpKmBZTB/gSuX6hF0fWc4+gXCNRgQjQ6bzTs9M
5aUisXRZZRvbH4OWtM8g7JWauESVOK6m4hBbt9r1hwpG6JOwbZNPITRT4/a50C5zQ6WzTtLlqBMa
1CQnPoMQqk1GNOlchs4jyxY2wiVzKoKo4fBnAe6jUYuZ2mIC4bODsdOtpWM6tDiMnkiYV0jQysFF
fte7DNdIH0iD6hT6e5/DvOoFqqGRMo5JMWUzrrpURhHcPVtpHJaSff5gCTTZmEZkygYgBaVDY8pX
rSDTL0G6+/RBumhNEB+nLErgwIY2e5mpjYUZxh9XpsyCBjhDnjIYr4nf9N3afObxLsIqOJ87uLNq
GSc326zveXuAodswzIYWYQNbiD/syy0jjMwSm802gfa0iRtzEE1grUK9xc4axyMygup7B+Nalmn7
Fpsq7C4h8Sd9RbvuxqIlLivh9swxWarqAEEt7PCe+NyvHa5BFGqGwkpo/Nl25H1X4bDr1fDnqO7H
gKqD3uOgqctUbOJ01bjIigJodN9f6o9sE332V4uaETcDkSdetGx+U7lOdaeN49acqNGQBb//mEeS
iM8EK2ZSUFTDS8Afn4uOM2bloV9dGBOM+PO+dFWIaeIgvSx7dZRAAzskw/Y1THUvdTc1YAr4jCbT
q94Oqhvro+2KsOzhM8ESTeOpY8xkc+PmU1dJnMIA4z0sffhMsK2D7cZuFpNN1d6ekG1+3lHNAl3q
wXWvOroP0OvJtKzEoWvX+gCU1DDaP5zq31/1vdjEJGShs6iLzKHedZ8SvYVNboIb0PelF5S2BtVc
Z2oaq8POuvYgYXJ9WEHjc8Ac2qDlbEp5qut+/7DHev2ljvunRsk/AiWfBVaQZUEOyMoZMwjuo5yz
tsboqR7hY9K9vS78hRtoV29JcqIRtM7n6MvQ9h+CgOSzvxqEUQF/P0OcYM5X0abzDuzEqVrtr2Hi
PZyidiDDHpvkxHTXAwG3Xnl1zVHbyzCs+uO+tJUOSmGdnBKL0jrBV20cWM745C8YxDVOGwbRHYX0
d+ZD9GGEROIzv+DvM6iiEmNy2s+jj5oF0QOt5JKGGd2DaR231bRvAz3CFK6L3ug3MQ+bJkh82lfM
gFREuo4eOdAf6j66pr16G6T1P1G+YIxQZUhPj5i7DuVUt//L2ZctSW5jWf5Km56bNeCCbaxVDyTd
wz32jMiIXF5ouYTADSRIgATBr5/j6pqZUpqWNpn0khkZvpAEcO+5Z4HuuvZ6efl7r//DVHIw8dT2
y8iP2RhvsFDPbHZ9ker9lZ/gZTH+Tqf7I5+riTqTCV+xozaRPblqXfW95USpA3SqvDorvfv6zu3V
/6C5/rXf+703vUDx/wb18pBUw9pOPXq/zQ9bEfdNn5hD12HV9ce62ro+n0aNuJp8SCec7Vsb5oGf
x96wWh/RWLedzvu9W8O5rkJUfUlTD9rdQEBp7fK0Dbv3OYocM912LBbmbrWVj9l5izI+dfm89ypq
cpLKJlX57LhBITQy3LqcymlUX8xc6yXOs443+pzuHeyey4CGnqsyTKufiy6k7fYMCzm/NjntEPED
m+/QbHbIY7lELMtlgDV8d4pNx2B9r4FZOp1DV9Av+ICWj8OLSTS6gZa34hdtNP56XqZsLRnovmm+
4Ap1xbr6pLnaw7IhdakjqR2+jABt+ZJvc0xin1PBVP1paLJOftNqQdAPhJz7OOscbl9t+Hgh6Z3M
rsOWDzCNsoX3jY27kkM4WR12jGySQ5RUmy0qgSdNFivzgeoyWXdKbmKxMnls6LJr6MKmMZyQEjAU
nJmV3bVkaURJmtSnRc3ZhCpMaFEKDQPcfJsUmwbwN9uxVqWTaJp5AYRkUyM+2TTMPBcJ49CNrM1V
lXGUjdhLmF6ucbfGuslngcoul3HU63LRQ/J5cpqVPuwb/7Y0e0iPZh5pd7/PiWCv9ZRwfp+6Kk1v
96oWiyr7HRqV7Cj9EsMRYWd86e+g0BC4X6ZpDD6cIrtUy5HA1RjVmCbj3p0CSzf/dRK6GVUxrgCD
zxwKJPk+3vhmQ9EPGZLElIguNpD90g8+goplB2kLDjp8WZdDwL0cx3NCAaQlZ9YNos471skj6+qh
GNnm9QxIIkR2vVSWq70hi+0OfsYedc9GtbTvty1Rg8DjMCbLsU2p3YpR1VkCl9g69CX6mlp8Ei4d
xhu57QCBakqWbc69cQDzcykoT1BBOZemaSGRAty+izsxsyMMVrrtZkh8DFSbOHir7Rgzu1VBu0WC
ZQ5MTgaTNdIvX5M+gmZmXnlmnjnVsSjrytL2K3of0WPR6GxcS9vS0d53C1HsPehZkz62gUMmJEcy
0uudRkl3G9e+2783Qz8uUMzM0ZjdT1i09WEwdUjORsft9KGOtCAJtrdOMZpznUlzT5zr4q9ZW1Ui
5JWSWl15v670msxNNn5sPQu0gOc9gRpd+TSWsHamrP9WOa86lXdTJ77SlE3mA9Tle11guoSzCzqP
MdyB1WcFfnmMsm9jO6/7WScmhPfdTuK4MDVW0rc2w2N+Ul2y3ztJ1JEkk2gfxLxwdiCiMfXT1NXb
/ugh8EgiTKLhGyDKixMxO1vvhuGXDpOb+qZlUxquxrHtq6spkfF8s0ySJ0WbpVnySTCE0H6PfVfd
Q0IeXWOMtH+DtEXnraeqVDAIisqt2YW/RobEup9gHpR+7GWTydL0UDq+46Huh/tYVU189mOzhEM0
1e12kmEm7IqzrSMfCKu66qmepDKFCS6CJ2JLpIWIRjME+a27pfOdJbsj59Qw078guKMaHxaksdZH
UncjL93Wrtg7PRVzfQR/Op7vJrmybz08AYaiAu7mH+qNzNhK6nHzB0ZHN6uSYFq13nQtDI6PlVoM
5DURX9X7WliZnbUxhuWuimb2ta5lawo12M61uRjiiiB7KEu3s+21daXzCYlKZ4ckzod+9+ZT6iQ+
QUmJimFnuOFTNJGyc95ukR0Ow8WSJ4eh3d7dTx7CtAM1s/+ckOAZ4tUUoiILREGwO5RL6q3CEuZF
29eJLpj2dPwQJuQzwuBIa1ie5Wm3783ZO6hk3wfk081VXk+Ob9jvd+PHMW8djmmfA/Fe7Te/rCl9
RQTHjAOhg1uNfOrxKpcbadwyHxDiiEnnYfCJpjm0nwO96hGw2h3WVaV9yFXsxH7jN6uAWmxIlpIn
UgXUiFCy1fXZImUtyve5aaJnRrs5KeuMLVFpyRrLkod9b19nsqftaXW7l1eLHqOqnHxShdsU4V2P
JLZt8wwUOQld3vS9k0e4xit3LTt0MPcBuJI4Zl2D885VFZ3A887q7VYr0nbFuM+xKzIz8wi6hdlW
jYd6brfxkyOdhhhjyJx7bDbCk9OIkXF7P8LprpnyNWQI0IGveD75WcbnOJXWPVA7RcOXpNlEf8v6
1OIZG2rd19/TXux4EjQs2+xhVKJZj/hmW3ugusvsC+vWurq2qmnTM0S0rL9b5gSZWwdsRz0rEZWU
Vm87rJLhaW7rlp7s2CgFbjMUWHhGBHyUruvWBXMyrU7BGU7AISYHa5B6mK8uDMkz3lO8rnHtts89
TOOhSZdJPWbFBPtFVUTYn6piq8z23CbMpSchDbQudBhAVtXrLKIimMUhUm4e/QYBycrjAgMFUT/i
41L6sPmgmlM0JBkmR03VRct7rfdxuAZ1t95RFQ379g2nhh06eKQSEr+7TGpSUqT1xPe7nchMW+zE
e6jOosWth9EsQ+DYrceGPD0g/cLOZ+Jq6U6bY5JeTu6thieAwmW0NncSq5zAr07tiyqmxofwLpVb
L3MEmQl25JnG/pZ3qW/nB+JiMX3ZZ2uyNu/dutFzyFKy3Wd4+uuPrd0QQYMvmY7VQwc4zD+JDhfx
ek/aeSuHdKHuhPM/MgoXN9Hrwe+ce4XiyY07buas1uPqu0i/8Dg4/bjimq3XUwv+4EO7NnVTZG09
2o+b4Qn9pBMehM7hEEYGgyuV9ur7AM9U8gjX+kx+GeG80n2e+qlL0F/BEDEtdJu0/KS5swH1W00E
G/MpWgKOwn7D8YFqD5axLKIrLy1MGsYA2iiPvsJVPmQFwaHenvdl6t7zBc/3oSO+Z0Wz7Zi/aD5k
H2gCXkSRBlG1BXrRjCMRceTLVdJzytY83Yie7k091ZAcx7DvPBrZ9uNdqo2P+pxBgfWlHSe3HWnc
ZOtDPJAZ/ruYs8r3mRh8fVx7JOU8TkmdfhQWKS+lzSpAAaKJHLsPg6n4kcytTx4wf0qHp77jdr+J
22EasWFmWBugxYOoJq46mKjOd5XupdkKkWXqMYD5EhUba/T6ZHc/QRAN3WviC9gYVl3BZdyYh84C
Y8prrfrpkAboavsjJGrxQVTpMJQzqRLciabu47tsMZckV2YvxY8A27dWhRQrTUq9TCRe8m7fwodW
9HBNyncN1eJ7A3Fb+qosG2/nYUHFVdSqjYq4hStcKLC7rzn3LHUfkgW2ByfFvMF5zzeCMj2FgNe4
PKRZ5M4NPgJ5t4yD40VC2VR2oV6Gq27DUv9EyezXY8K7PkYyyQzLszhrUlGmPXikuU3j/ShxGHmX
z7Rq7f0C6pQcCs007287W4UHES4BqPu8pzdWiI4cBBJsNhyjKDnKec+w7ft+jdS5YwN175e+iten
YV7iAoOGKfkc+sqvReXr7IRyDamZHVQ0I6Zu+by19al2BsYaGXTVOGzTYt+dNPmIMCRWupkkJ4V6
4IPXPL1RsFLSOZPtZIs6TpiCZ6tJ8nHMWnYtvArfM6h/2rsES0df7a3d5d0UJfMj8bB4RQuUulvF
RLKjdoqz+XGNDJjkbuMFg4z8DkMRiLURXprCjRwy5Lswi+Rl9JE6dEnLulzrzd2sXS8flIeDftnh
MS7otvgiqavmlGWZvF2YCtcq3vrPQa3ts0z7uWgIe9fTWb/QVg4yV8RY0E6WvuumfCON9DZXqHbD
MSA9LpzYmqhXFm/m2rVByBKPMyv0vuzbcZhbeh1AX8xefCT4s+o9WAtl4gYenSrNV9/nFZ5cAZl8
qMn3xlXBvVDKWMjXRm8CVM549aFsLn4A5z5sO2xTxBwHg2TdabIJ+pgmHdtSsTWOrtc4gxobslJP
ruc6ruS9jTbrjit0/uR1Z33CChmy1d0smaHqMypXPR2oS6LkZBrTZLfttvYIe1XD2uc+NrN4TZfe
kIcpXVJzgE1DGGBJYFl9HqNV9p+iGlnCbUFDQ5uS2LZ2+UIblKLSLbwp5h41is+rNErTPg80LM23
TdB0ul23cd2/IpTKoxyqnaB4unusLWryFoKh9gAXnSq5mkXftO+2GL3/YRyyVB8dx75ToqNR/Dxd
6HeHieskfYCopqU34M+mcRnLjcpzDNnU9ksDfYB+WKwThhRBqrW+tpNNCcthKCIwY9zbpA/v0Brz
BF0wKJv7jbW9xb5QD9zHd0ZjST53aFb9p4528pyNmDOlVnv+KbZpF33WmFKiTd5GihBEgNB1gacD
xVJeLSt2dzsvW7lqNYsPDJp+9yo89vaP1k4yaUvKpwjnVTXQaH1mfm83lUdJwtPcuWrWhazSPrm3
u9jCLxnk/v33uYGa7SBaJAk+hb7eJAwH6Dg/IuOZdtthWOHueiWbKBkfGVYZdkSSzpPA9lRvHGBh
PUDWfGpTUvtT2tUd0WW2zygB8p4xpmADP6L/QMXXTkVYzaUWQYyL8+9aN8/KX8lOdfNrb6NxPY5t
5OTZWrlQ3LFd+rmckn5bP3eSQovE6k7az85303o0iuiokN0S3zSTqlgxYZrsbkPbZgq3hDcQA1qg
7MVs1glF6cRgJ/O67HDJhUB6qm5HlUxXvtrE05QmwaE6oPtuHkLf9/mMuM4cojC1pMgXE+14DF7Q
UCgknC7nPbVo0Gq58Nw6P0Ymd4vz9h2PPa9/WRFtIg57R0hdMn85V3NlkTFxqlBm3zaw5sJTl8Y6
va5aRKbeGBXGD1LgIpSpc1nc56QBb+DV9nsboUoNJLradjzXV6gDYn7tcAS0X7xPmyu0ALH8NMLi
nNcFlYo0T2aldQ1L6FizZsnxkNG0ENhVA7q5CMK5nddxcy9aT/ZixoJ/6WKqD33VsAFLrVquRwIE
4w54RUofxbCx7tqvs/wKJOYjSg+XMESqMFDAR2TEJE9DoqrP8LNom1JpbIpNO3d3zhFUZjsMRvy5
56IuzB4QOAL+Pzk1fE77u8mltr+bq8XeLMaM7RcERLu3aOqsLbclwm3MNv7aLdlluNMJnO1b5l8Z
aglXqn1CrQ5ek9vy3nN9hFhZsrw1XqE2wKhyRdid2IDXYie0wHdce+8hR0ACo7ggPRB+z68dirE8
oWCgnwGlS3ubTmKKHlMOEh9IQXxQ63llSrkeN2UJxELRXbXNYSOpaPmhFax5pyZkwx9iyBymX7Y1
6dYiqoFcfYZXAwJqZypsdhjqJCR4NJvkeW7Qj1yFobV50mIDNfm6zEixU8lSfxNU2+Q19Uu9FkHb
GN0Oz/p1y9tV9NGnpomrr+JSmpzEBpX5S2DmzXW9y1DuyilGMauzbjlJZIKIQrJZv40USzYXiOwo
EAtCskMvM/Er+NelOy5CEAf4W1YZWhmEqh+3hHv+0ahIQn/cyArIYCQ1nJGsgUVBiaJE+2vKxvFb
329pjH0uq9vhFU5tsi2SufbpqXVZ+I7WWe03c59Ub7rud0mR/x3W5FbXPpteooow+hYjMoN+R2tZ
AxlpFb2V49xh7yB1KBIVT/5xlhU3kBphtpQppshjEzEGNBulB7mhHoaiR7nOLCk3t5P0sLLVrnmv
l+0Znshx9sHMcn0XRZn9ICoev4BA4farsYJa5BSNaIy3Xm/rgWUChr57u5oPuObdzRB3oLWxFgHc
8DjJxvNYSzkV1Aza5yaquo9Q6m75RKHyMSbz7GbeTPTImd/umNxrcRwrWC8cehq2qwmxElex6ck5
Q0wy9rwhta+1VDQ8GDVCPbyu8PvJ6bRU7tkvsHj9DAMRNGc2+Kz+CGg45TlbA65D4tsW24JM43RE
xcGhPxbEvdQbQ5GYAkpQClVGSyPYw/I9KmfQ4OmBCgXcxCNeHTklfN6bq8QQ8wr79bZ7SsQIEfiG
BIanBh8kT5s1NkuBbTs4n8/AxtIH09U8K1KDj/MyjpUfj+1UtXWRZNz4rxeu63kceq1vNs73Hu/R
RfapizPfP6SKexRsoUmPQphoPIFCyf07QNHDAdvEMBxnSltbJvXax6DLIRj2MHqCTQT+GNe4F4Aj
KkNHg3bbg7S8huCebFS3azHQJe6vo2jV+xXsx/bvEUVsUt4jGvJG7eOG5VMJXI7Ok0Mns6WYJuev
0zFGwVk3w00wNX0Ce3mCQgD+jsA5YNSQZrz6GO2gkx8FFDLhBTjTtuIgsiT+7sSsEo4MnG4HPGD7
xQznAROK5nO9T1YXuFMQvIuuRmWOHbNfdVFPlYF/OcyL5B0s0gQvpGdmOW9jNokrjlhuRKNWKxNN
HlHYHh69TC+LMGpXpZCuOKFjwubTle1upT87iDJknoyb67GMMe96W3B2VmczO6LKFY7aBExMnWTx
65ihQitXL+e64NnKoPVxLHSvDYNNTUngN9987AFoZLkelrp+IduO3UNFEYuvGY81LbRM+qQcgYat
xTisgLZyiKA2VbZQoZGHzEyzeIdAkGbNA1ygzWEJFR3zkOwZKhhpYvctmpGqkFNIPeQ7ZNms/KoO
xvNvDF/Kf7AoUNkttXHPi6znXfLYK09gmmzQFNSN1fopQMDfHZPWEh1yCrH9CgCzHnaFRt0BcsBD
vaEoRGx6NSHrWtrqrh5Js5/jjGzDnTTAaXNmUg+/dFPPb4SmTX2f7NUAck9FuuG0iDVKHiGw4wxr
ak53j/nPEMwR+Y1+PoIuZnSBqQpdvg5e2wgBibsT56gHnPKR9PpyhxganzKepWmhWkQDpu8X4Idd
AX2Fs0sOL5Y4uSEsoWguqYuGUwOexfrVJ0HasmKsclce+7UvZ2pMd+jTVExlgkQa1+XTrEN9RDfY
y5sqg/0ayJf9JR4MaWlj2daN3K4rR7gooBNRkpZwYiBYUE2lMc/GKHRU12zd0h01izPZCSDBiGn9
hNouBw4bdzmUhXtbTngM+mO2LfH0xhva9RF6hzhzKfJuYWLyi+l0Dz1XhwmZw2GqUSdmRdTP8ool
JgnbuYtFKl7hGa3drUdrvxl88SZrM9QgWzo+UN7024cI30ZGeR27dFyOFzdrNKSr2Nfsfrl00DdV
NHYbii/wZWEwFSqlHoKOLZqVeUkZFnjWAbPiBWYtFN0qsVoO35qA7hoEucA1eZvdGk0oBjhFwzQ6
yG1XpNWM87WV4yIeKDYPhVJRtPv3rsY04nPb+rE7ZiobIo+ra9IBWcxsbt5lKPexlhPJM3o0KI2m
t9pk1IvcxRJuzZ5ni3gfA59rEP8C/N99lXO2dK8mWsbocVQY+LxbL40qHAuC6JOCrxN8jSGbM3N/
rjXmXnhIMpMeZ47Ghx2Qo7hMN1AAKuqLHTOkEZ1uM/OGl4QyJ268wSTpFtW1YLcoizL7PPRtN19z
lfrxHC3ISv+cElKRgl1qtuMy6mjJe5746HYkcKd6Fy12abDHwYa+kKiMh0NYtJjvG+sgdNGU8PX9
3oMXWAhiMeRp0n6AxcysIvdNMGuq96m32PwH5Bu0634d7YjvRskKX8P+7I1KA+opRFwXMd/ccgrj
INPTDJTdX/Ud28krUEVKr5sOk8DCEA0CwAHCUzKLEs/mDmzrgqhFx2lOkqVImW6jHGvujhkbMswa
KewxjiQGtXo6NlGMeQ8bMOIJeY+INZGHaTO0nGtOs5PbFrmfTLZFZIClW+IXCUxPISttXGTc3tJ4
tvaVWriqv3GVLfoWhW3Djz2tF/nsPUYzZa9Eq6BOBCHtsRmGnt1Uqh+6Zy9wYW5CIjp7TRZE6tyt
+KwJEs3DTh/bhWt1vbWz7F7Q6DXVWpAF1fJUtqPQgK0zeLQ1pFiwmE1UwPuDBVNiDsiFPHagA14s
jPknOBgSGxdSwgBTHzRGQXY5owCbcWEdb838iHN6APAMMg5GaajdZHhOcdkhrpK07vYXTE+q7bhi
JR/lvvNbNNEsukmiSqKwYwTudclljCeSK9IyZq66lk/0du9HSHTjJIzuk28WCdOKboF1yNEps4U6
jz2jHDPOBKQrMlmxFgzAhv2sV1jWP46wXbDJ8WL1GgPT2CjC3cW8y7UtpPa+K4OeL4lyzrJ7OlfZ
cM4gLvenaTBLWqo1mOE2sfCpAURKMG8dw8yXYwMQP84jG8fRETNK15S9UBJtp5msQYWU6ib9snGk
yN9Uu2q3J1gyZA7Ye13N+/d0oKn6arqR9GeSQup4JkB9pzvIy2f3voclNWqbgWbbbZxFNvwSJtqa
2xBUZAHwbYkodolyJAe+vGC20lgLst/ksruFaOsLFxAcep7xEdpy2ZOkK8CNZ5iZZ9mFo7qKowQ9
+L5fkQz8Qnyn7N3s9ni45oi92y93m1fQOkgXkAxvedZ+BcwXpWVLRWQszFrRzxR2wNOuD6isOxyQ
2Egvbb6fjX+Q0bymRYiieMZiEdMMuYShlysoDeAqVBIzlQ+Wr30EXXrDm+/L5Xz8zhfo7GFvQNV5
GmWIc4L9rn9O5zlxWHuK6snlRlgI/QExISiK16QhZZrQCPSaVE3VfVJz54/YRuGFuPZDs765djPb
7bhzTT/M28IyNC9Tu1yHwPftg+DarA8XD8f0ZPVS5RpmN1OOalRdwHKzrThzMcB8FCFIfm1rKA3u
MSjR8GBAbbwD2po6oFYUwZUZdV8gXJ1EDmFR4g8bMx1Qu3mqn0CTiFERrQhlfmrBbMS5iIwNeDfK
VVTylRsiQdceCOZZ69VQzdPo8gZ6vywfBXgEaYHZ97y8AUhSAG8B2BD3BWjF3kQ5cyhf25xil3XA
EPsRao8cJvXoO48b5KEIBxq2jNWfoLAOy5wvHiE205VeHW3awk/wD0cdSthG43JOa1A5yv+0s4M9
b0TFFSZVqSsIGEE2j4SbqgJGyelLit+OblZfK3OW9QX7VWi/N3PZM7PqYUzsfABasC9gKkdVdP7P
atnIFmzWn2DUvW0lYe245Huo6QMGVsNSsgri77/HYPrRWYiFbNDjYPsDkR/b7D1b/x5D/UdDIdqn
K8Y1eN20eRIALRr6NyU0P9oJjXBrlFXD+RHHJAGIJFdyZ7Fb27/Q8P6BYRVGBr9l+gAKSxwYaZhM
RFh/Uz027kb7aIQHop0NAKdkbRELwOWUPG4W0C0arDYixRhtuE9/TqG6sIp+j230A7FMYUSzNdHM
jyPSTPuygTLkDuTBqUC9hvEjZnHi/Ofv9Edkqh+4oPNk8aiBU3yEIcDEn10Yq6U0CnVu6XEywZ0U
jiQ9qtItDH9xhf+AZPmjO1ELfhhOk4QemUAmh4PtzGEC1vwXX+iPXv0H9plBop/ltaRgjuiv3Ry/
emGqv6CL/9Fr/0APRZk+aaMqegyI/cjrOZybpU//5ov/wDBzceyGcWH0CAz6gEFqk1cxkMc/v81/
9Ml/oIdW29o4Kht2VCSyONPXKo9rnP5/79Uv7/pv5LikMynYQbguya7hzeskUib38fnPX/wPnlCS
/vbF2Rxrb7YWj0vNZfLdAlPyBWEhQa6QSLTJzQI29glKIWr+Vjxf+qOfTS2U57ARokfEodIP2TTb
+zYGvPrnX+jXzfV3VvePbja8DSlgIZUdtZA1EGg5BI/hCv57C7Fjrxkqb/zNkMUDu2pM+77dm/cx
njR6qmyz1OhVVH1AOuP3bU0R3Zw7jpLsvz/d//q2/W/1Nj7+9+ew//wv/PnbaNDsq9r98Md/vh81
/v+vy+/8v3/z29/459XbeP9Fv9kf/9Fvfgev+6/3Lb+4L7/5wwF1uQvvlrc5PL3ZpXe/vj4+4eVf
/k9/+B9vv77K+2Defv7py3fdDCWanrn55n7614/O33/+KeGg3vzbLbq8w79+fPkKP//09KX9Yl39
Zfid33rDT37+iYt/JJxxmWFLpPJXwb9/u/yAyX8Ae+UJo/DuBOp4ESEOiD2tf/4pJf+IY1j8Cgla
FEl+1Sfacbn8KEn/QbKMyguhjYiYQPz3f7/+b27Q/79h/zEs+nFsBmd//gk0q98cFzwDh1xywgRH
wiC8Gn5MmhiJ2aIhcvZIMP69OGFtgFWSnoKrgRaanQcAisCDt9WyK9m24P5McIoZSh11oNDOwJ5z
nShxk8AlDTDKlt6ySXZNoQO63gKoitnR29JhKtpFJ8ut1Ntx4W26grnGgdSEOQUKBPvdHVoUGvli
abIKHBc/z2WjB3aupTXzYVkQRHvFQtt92ptt82WcQpF8EOiaQRkdNez2yFCp2w20tK849aBs4dJf
basUj3uHjhLO3dFBI+gSPqfdeDCIdXtaMfn7toJv9SUAwdMvyNRlX3Xnho/JotRchARjm1zTqq6P
KrPq+0p4+6EXGp3GRJIVpCbPO0B7q96eLSEL4oTpnNwSPi2fQjCQ7u9h+5QKUBBzPxBz34BQQEo9
xO2as8HtYIsmSU3K3kXA51mrEAW3aviUwwEkRi+gUCQ/6DkGWyjEi/xkgGiqLwTenm3ejHDoOWAs
tqDkyOb5nmUxBWESXIjc+ToGbCaH6NratHd40XXZywgcvvRGrMHCLm8Yx/g8xsNcZG5YPiyLa/s8
cc7iC3R9ZnKyzfo4tUP7FdOQ7nYHU/ARgpXsex3H2wumdZhmAAa8pL9v03Btuh2TAyDH26FCUMGr
tvCBWncxYpJNF67AHJ5GzLn2hb7Wi3KvE7KTVDntspH5hHzdp5ipdjrgE2yvq3f942Cm+l0HEtd8
xExbnuoGKW4g46iPrdo4BVhDGy7KZli2tBR82T+gxVnna/Z/qDuT5ciNLdv+SlnNoQdH65gigGgY
wb7nBEYmSUff919fKyTdW1LeepLdN3hmNVOmkoxABOB+/Oy912FdpL2bzJrYDhr2y71mjem73Y30
3rGZKfMo3JoB5HarAzxcBL3wQtf1B4hhaRsCJlsYbQlbdNzUVddHfr+4AwmpRXZPg+O462bIp/k1
pUdzYgApkO7EQ9YKxz4qsMV7GL83XebQvRVtUpq7iTHNzS6a0rP83eChCHQaQDsMIcOpKyzjdugm
+Zil8H28LOZVtZJ+6Maj230Tpb2Z39G5rnwUK3OfNI55I+K1P86jzpSivCvtwhdClq8lppGjyy6k
BaJqnR81ncJAlIXUtrTT+oskWhwsPrOJ79gup9ArK+fVU6mQfiES0WyqQVN1gNjpTRSowBWgJ7UH
SY8h3VZtjIm40od+M61Md8PN0as7C2z9QMGbei/6lDTPxBvkhzNK6+hOY19yVOOXw8nPNlYln4cx
kfmGxjmwiV5Y766dOPq1slTlhEU+4bfFljVcN+VKB5AxKdZFO1r4eVaO0unWbOvhxa7i7iNOFZ2j
HG9UvmtZB9Ktka2Duc8Wg6OicvA6+5E+moMfOZkbH5taTfamSlzIVDGsuxEPkFfHm5nWmx4mGTq8
Tzk5XeK7tkRAi7PtcfIIZkhXEYYebMP9InGmw7Xwa25YjFda8p5xiIv2hhfnn0sziG3qKfNU8oQD
yNa7+EfrOIzsc2t7N+v6igw0OIlvRKb1ox0KLLaL61jHeaXld6WGanzTVs7waWl1G4EB8iRFqh65
o+h5FR53Zdmu1ZbNZHnNhiW/apTUp00L/dLlkKyMnU0x6IW2O/5IW2veuQqM9hIvBXLknM3BkAqE
Vw7go3NSubPes9jYxUPmyehdppq8MhQ3xNZxG5qnqs5ekgWUF1oiIyTpGhXac6PPw1U2evr3MMWc
WGVKGeU3MCdc0NTqpOtG9dmbjWeytieGvpOC1fGJjlyKo0MvTG1LznZxdxaeljacLFvvNn25msZl
6y793qV8epCRQBwS07D4xcCTYsE9KcMOefpo2smb6kWxN/OEAsaoh/d8Hur7YWK8AT0k3bfpJd7T
hSnJlVtMMd/gyXYzX3m5gWCxju+2N5vOPpnN8sbLsAmRqVrGgyh7++DmzfrS426vQ1FNMhQ1DMt9
G/VWcq9bxWzzb6Pkqeloa/pDLPOtx3Z/yGYDYTCziE34xoRwNES1e11Reb2d5aobYxHV1mzm4SlX
s0xuirgvWFAMZTu+SS/yLUWV3NNqnM3NMNXJpzM48SZO2krSIG68mXQEgveD0obxe8Z1XgR2UTRv
dmshCfZdh+QTpWrYWFpR9Tj1InvEWuQi7zNXlKTHuEjsOWt0Q/Nj1UM3idQYSNq/GWPwhPPcobGy
cZNG0lest0bhIb96EW4Vz51pHhrYsYYxpugbYr8mKxHWEYMLo6wfXjkITpGv8N3GvkVvK8fyNpga
EAy3PJ2HGVz3jXM35O4c4FB/rtTIg6mQuXGkSmIidnRMzBYnzNxZn3Oc6gcVexJDW91s+rFeAmtJ
3jIKOT9q3C97Tj56ZWk7keQVjl1VDJuhS4jz2Wq2nvuMPn9Y1azE4CQ7ZhIZlTWZBwvvMP0yq0nr
A8numDiJhn9sw9gQewxUvpjNRrn5sG7nVrazP8fys6qaKsYq24unuJba6tc6lMT9lOVyvlq5fT5R
crCZTCOljhXnRR8wBLA6Wdi36IXq6T7D1xcaIyyvIc7H4zD3MnB5ILogN5P0QIJBD2P00bvMFvnW
HqM8iODT/ShwDXzLJOpfc8mk7Hldug+tQQLOVsdKggmjBiKTHTlXaFiOX3pTKUImr6wpfb8yc/DC
VJr2aMVJjqWB3E61kdnQlAEa4LheNZJeRQjOmuxIUafxAhkPX0o4tmpmjIhmXjViXHHYzrA5w0oM
5ovhxll68PC/fMkmMvwC8y33jqzzQ1F0nrlhRWBKHs5Peb2uOZLAWrbe5bTW3knvjWXZ9IIDSFF3
5oXdtlrmR2Pcf9RGz/EIc+7yphtgaWmf9qa3GTS5slqoiIB/6Ygi8Xt9oA5VTr7uisWO5iDjU74U
GPXID2Wm6/hwDy+yoo02tVER1Ksco3uiiFpxg3jC+NE1S/syIA5d5IUt46A0JJ43NqX5SrUeokvu
tbq2cYVNzxl3ZHo9uCKOfWx2fVA7+DsCkfWtcxoVOSlCpDJlOdON7YS/m91vdZucbVXn9Yy8WC/t
nMd0M3tSorDkzu3krdUTtB7X3dgyqQ5Sc11yHc2Q7ksRIxqleAPgTRrtEg4Jv/KUVO6SXLciUpdz
ivVrYxod9YvjNbdGXTh3DBJl3mGEHbv11biaNWulwX2C9Mo1m/mgb8cuDVr0gGDsY5zrcB3bWxuh
6ThEfDyEF8Qa+yzjNq4YqmKWDNTaXaKXWRPK2JLFs7LT6stoCyO5w+LMcqGmc3WUxvVaw6Du83cK
hehuGeeFWfd13ekAP/tl5bHxVBFmReKWKDQp5gkW6KUnMxL3Txmx9pF9We+vh2qJjuUwjtBr8/ar
GGxxN2F37wJRe/ltzMTLR6PRvScDG/bOYHLN12CO+iPe8umI2U97XfSImT0R9unbqUqHV9ZfygWL
sZbWppBduitKa1n8qdDlAdDN8lwlS76ioIj82bH0ug/ONo2CRQDH/65CDsJEiX+z2yigtDmVsp5h
ttFyqpguoXO8l1T/SOYjXphqjM1D0hlOvm30DOuiE7O7+RaTiJZdZMYquVh7Jzvag7U0h8ESmBST
NIcAOni59z2WY/GjawFK025nuEnYcZZ6stIF0IITTyTfdjqNRG3D3RtbFwhQ7cialdbp1ib3NyJC
lpWnvVdt5+4X/IeyCjyYTOkhLlN6gZt15LjD8B4gcC/NPAl5Z1fUJTtcZwZ+vgzQlYvjZXi3y9nv
FubEbSciM34/52S/DKvCgcbcpIPJ88SNuWqyOMVOj5l6MK3RvFprRcFqEjbDTGQ/6Ow360UWLdEt
0kaT3+DjXhnclhE/M0655WgR42mnIYcnoyCo6HTFzY1ZjCMnlby02wU3Q9w0zWW8VpRHNRkf8qai
LqyrPsXbfmGLboyv5eQOzjVctGjap13SB/Nol7f4UBrtJG1qkocl1411B7jPNrfdvMbJwRZpkr4k
CLHFHhFqWbZ1huXjjUyB/u4laeb49YIR7o2RwmXku7MSLkVSb0aK730yWoiMXUeZ2c5NskEqIyEc
qMXQ3+jKdP2m7dsJz0lUG0GU2It3Yvtupn0mxXBhoWi3oYHzYQ8VKNv1qqeWMCJnvo9LZj4clsRJ
9W3c1qakfzOo9LKysGVt1kJUfdhnRrdttHgkFKQmZweiwIsuzLaasdanGA03TGxzo4uyGZbGYKSd
oS8+O0ORhdg78u51zii362ZeisvcxBO6ITZlryjNUy/ri1IvF28f0VRa/N4Grf3EJuV0B2vuS8oc
fZpO42RKRI8kYXbVI6YQ9CrBM1zdIo5BhnZqQK9YXxKOdrgDb9LG815xzdqWj62oJmXA5RB3bpNl
3Qsl3fEYa9aaY6i3XctfNbffukbbMIFeMoM6KbJXL9UiKnJRq5s4q9kTrah+08zZi/1cX4mVqDt8
4/oQtEnWcfN4U06ozhxT/O9OHQdJhK5u9AXbVBlr0feaUOsdhJtyMqLFMMZ+n8fLj0W1pnnoJqEo
WPWxu2iacbjHE+FssHSb7P/2UhxGs9EshJb8bsDRCbuWPNlRzTyxVC0RIm+EwdDBTKPGj86VQ071
LnEGV/jxXH/hKJzvk65VzqajgffUKVPxfcgVr0qeKHFNFjM3LuFwjSrgp/H0WEzd0oKG2aKlX5FN
ERtM8fNuVqX72bD0Y0gkD/jYCYsTU4Yw/F5oTnnQmL9AMsZFuKvzbtj0xSocP1d2mwdrYZvXdq7M
uyaprHODsDikzPtbP0zBx+FMTnvkvuwf+OS9vYWplJ+vXFGRX+kOtV7O76rT1dOyJD2RMdUDBk+F
cTGagnQrrUexGaTIX1U2ugy3brGqbdxK4AqeRrvWg7IBNXrlDUPDumTKwttqXNhTozLviNC2kHHJ
KnpLpYwmqHsc9oOujYg1IKPFBBESxqEF0yAjVuwG/+WvLbvf+4d/aov9syf5/9C3vEx+kHetvvv/
BY1LYtE8y2eszv/5R3vwX3qXwVceJ3/sW/73D/3eunR/gZ5jC9uhLwjt6pxs/6136Tq/kByDTe4K
zzClcR4f/3vv0pC/4J+i1ekID+MVRqf//I9/9C7lL+dupuexsgvBbzT+nd7lr+T//+6Fc3GS9ix9
VeGAh8PB/ZMOlZQ2qVoPP3fSYsElbdeQRBnV9BKP/XhNwvlh0FrtrjR7tHySOvWRZB5RLIL1GVp6
mr8WWTu+IwcnhyjzhpBTmE0YhZoOL1S/TUi63s6OPt/x62NU66m+oQLMvzBPfExDR1B79bSwSbHs
OZVV3dTeFD00BsEOFq/u2ays4r2STPTTcMP6XZRlN0tl32UVBwIm25ARNZ3pyUwdPdTTlYMULYLA
Iyl2X1XeC8dmayMmouTUZHPoaNq040Fs/dkwkqCjK0r3rbnnXB2fCQPn1lvv3dHOzQJ6ec29VTD7
r1OYCNTUYQpue3tP/K7ZYdSenlEFyQoaUf6N7bc8jaaKP6RTNPiquv5jKGX3kA5GwbjRiFiX5QAg
ZNN3kyAtaKvRBI7EW8b5YeNYjDTQG+mdJkHUb8Oswwr7AkbtN0YXJ7CrPdtK6FCO+mslXM/Xo3oi
+Qocr/Lb0b60eyYG+8u5VSC1vDvGjSgQSOVaj7AgK3o2/3+f9j8pG/+LtAzX003DpP//f18RdmQI
2vc/KSD//KnflwTrF8vly+bQbEIY+VXq/l3OkL8ID8SIboh/ahb/WBKsX1wB1c9zXEOelxHexD+W
hLPS4VJACMswxHnF+HeWhLNo+KcVgVeQng61knOdK36m8XpGMjpdPrthb5+Teeu6LM+x4cx/o/H9
WWJn4fGkY7H2OJ7rGFzXTwtP5+CvmFTphI6VjW9s1nKLm17RTeqzcafwvOz+8C38vj/9Uab5deLV
ny9MOrisLAiAOo7vn0HzHrYhkjmRE7pi9gofl1kec1SmnsZVYKLGOEVyL9FVYJvIu2HSsV2imK9v
5WJyjmi89KJzYvNCNKMR8oSmF96ST5dYo9aTmLP6b6CdP8mUv31CfOWWbdue7uru+Yv6g7qbulq2
TDMMCSa0FZ/TSAO4I/CKS5Y0XECRIf1JYaH3E1l9tpW+fg6znJ4WlTJVjDjitxqG7LHE+0xKeK2+
//rjNP71PpGOi37msoehwMmzKPaHt4cPQ69Tb3HCAV/RZbKKbN4kdmUGbjfFxyWdXRZdUVdHjgBz
qGu62vfKmEPes9yfQ68sn6q4Xub4KER90GPtliMDffhoHMh8Oc2YvZqWI3djROYwr4zqY1Aio3/R
1Hd/fS2/ght/vjVowbIJm6bFxvuTeUEmK3alwbTDesjjE8d8uZnOaI1gBjN2MbXJkG0KU7dDreqm
z9KZqojQRMl5vizYEeiEa7fDPPevDuu7hpJQnopMs19mkW27zr50W0gXpZuMGzfX1DUR5/HQMyw3
bFX6WttNTKbbfvHs3rzqyVKW5Tk9yojCenGKQ9bmzhXLeXPCqLTWPgxZMnoGwZZtjLjnp67r0pmV
eKrwnF22tR5/SqdlWjydp/poO8162ZNbV/TtDf3YFvq0+KmheX1QkZF/+evP8tcH96fP0qUssUxX
EKvAU/Xn+4IcKCGEbrFDEZnFdYVlnHDapJ8ogHauKb61dJqvGUECSIZgJQ6Coc2nb6fJ2w8c8v0l
7Nyx8I3GcEFU5Hngag0UhrIkEa9FZn1TxVW3H8dOzUdVF8unN0zifqgjCCf5rL0IM1OneiWBtMnr
RPcXpc8nunfpth8c/W9unF/9VP9yse55S5DkdXkUfrpYqdcMbeUhYAr9eKUQZ6FlGJp1qFnWbzRs
/tsGlRpLSb7eto1UR7O20WrxEtd7gaX4ETPt8tVOSv/x19/D/7C+yvMia/ANOCTUf3Ke5ArAT25P
dggaiax5W30DKz9YPSoGAY1/Cwr/61IlLc8wPOCqHG1/HllTsT9McjlnlBeA/DrMifNTnP4NAu38
ln/6sP/0Kj89pblME6c7B3QyM0m+dI4Zp2Uo6bYgVizbv/74znzLn1/L89ij2VEZ034uwP+4unFL
pnVtNHaIDdY4mlqxfq5O45ys1tTvjLlj2WWQuUfBqOvoILS1gr9+A//D8upxpvdcmnAU5j8DWytt
ooEf23aY9+74JKYGOAT93L/ZhY0/u3uw4UtB4WDbZxOFQZzmJ8cbk8GEXPLUCUe7vas7Q20KfWGi
5ng741Hxkuu5pME0T5/nspQuvHa9ijzy2U9kkJpIjJxHEaBiq7rF6j6hmPU9EtJdhy0A9FWMVT1R
dDWG+ICt3Fh8OJMtGO7mK1XJ5q8/sp/vD1tK27LYKy3hneuqnxxLq7Wi4zutG9L1YNYlWUbfWegI
rE6l/c238y8fG8ev88YnHAoYYcufbo94jWA1DJoXurmjLqIl0/auvo5H1Zb51uyiYc9H7f3Ni1IK
/vxUO7pNJUC5xMrq2pRnf74tJ6O3jUJMUYie9WAnmDBMJdudF83TC3lZXGBi7u7IMh4ICL+6Xplu
3Wkx3lMFCqfX4yO1D8cE6ZJ+c266mrYCi9v59Mf8XehWHLCS18joXqtR0MieKh9yQeeDHjX8Ju/J
0kzzwc5G+lJuB0ED0zUBShJ2yRITl7YJwST6om9pu9uXskJoUK1+qg0t37rzFPteBP7IrIvboYk9
v2xUzQN0x7llw6J/yCx5j0N9uF6dd6teP0t97a5L+i5Badvqpau04VqjGb6daF8F0ZoKvwDA5dO9
TXc5QVydP+fp67JqgjRswoRBb+7GTwNxYmfFlgcipjet1zkx8JfrxUNdjzet3A1cZ5Iq8YPGI8Qd
4kw+eKDizYXqs9LnsoGnN1kWlolX7+fcLvCDtsUValh2I2YHrcxI4TaDF2DPbQfjizS6vCwKt9sm
Qgn6mdkUbdDM4ahNjlsEEbvUGyzzKUw6hsIR29nUuXNv1wmaXIPb3i9R7om9EL4/Ynm2bqN4bDZu
soSzqYdeNe8rQl0AQ0zC0RzYsbbMVgCeyPteJvOUTcMDfbivlOryKTEI65greQjAGs9F3Fx0xdxt
u6EfLyODvHSTpubtmJG79Ze6KvhdOWZFxk8RnGxuC299mtUgL8fMJSFSt2ACBgWHJJOzsxGE1K5b
uBY7Qd/8pmcOAXQVvrahPTc8o1h9y7H3dmqNOkZMyPq2y6V4KZs6f54Sc1emgMi2STrLG6I79a2W
5TjAZ6XH5OmMZoEbNhIqVGt/a0bL8FgbkOcaYnIPZLfrXc34qCutbtQeuJl2l1FoXQ0pdNVUN/QA
ypjLKzv1VbRqQ5hNsx4OlhTvWiTaQwXk4Mpo6yaI+fb2a1r0t/GQfwAyWz7S8xVOOsnQNhpvdGXt
1upBFxC/4OpcN9FyGWlut0v1dML/k1U/oCOj7+rckiAaEgpwSTyzycSF5uZr0PdNH6xICz7xO5s4
5xRfZU21BnpN24+8RvlNeGjeaog8FwUt9uvSll9xY7+WuOY9n1wzHK4WO/CzCxFwb6lJ8/H759R0
MxJeF68HfFwk0Vv13NbdM22UIaUbLdqPvBL9k5KZsy+8pmCA+oJ1KyqNDSef7tQWLekfr3X2aUu2
ttWkCm2TNyV0p3yy2lK7THhXATOD+MdZeccKO+8bcC4HImngzZxS7YhAn6Ju/DJtdSSI5tDn8RAm
S92cN2kS8w80Fd+PyHnhOI/aNmPy2nXUEd0jry3vzWH56KRd3eXt5FxjKEGXK0p0F8K1B/TGm7XW
zdshLvhODOKCQdxNiAKE3Hio+ngbexOeN1TU2ajqk5vSjc1MfCJqiUFiRGv82Jtxxd/V61HXAfDZ
FSiUhWmhW/g2CxtEQ55YxNgUAdMjUdrTVbJGOWHNarokR1CEGonRIM7THX2Y1yYuui1aTxlYGgpx
r7cBlo4xmJlxfFVlOFAWbTZ+AEMiXSBBNzckEIIEwNWNoRW0zyKOds7WLKwnM2ogbZgKUTCOywCz
x7WGWHunouUoihGZiJx9lj7Q9yq54jq7NXWa2fmSGJ/6OudgC1IqfTmt1i7tDHSkdi1Thho4162B
mRxy3rpvZvNeRPPGLi3DH4YIAgW0oXJlOAGRow+IAMdY2EFuZR/wIQFylKO1m2oH7Iem31dZHXTx
PF6WKOwAo6q0IctRdy896kpQN1MZvSmOZ6Mfg1LZLilMJr9e22MverUxChOoVqauhhWMXm9MYkPk
fSXZR2DR1xqEWVLzpebbXWltHc8CkDBFF5Qd1a5K0+xYmdp4o4mE8JpelqcYLDlx+q66s5zmNs4Y
9FrlSHiJ1VYwp3SmWkVu8hSV0gp7YtqnJGrPYW4mqnZwOa7KkeGH3izXXYzM8Q42knEdUh9812Hn
bI2l4bmovf1IOG5T9ynHwXyRQaeq4lDjnmHptyEFtZl+iUFv2PYNi3eatLet+Cb2bZa+oy3dA+YQ
mJYirm+MKV/uHJXJI2bO5eiubnrULXMJCeRGz+XqLS8gbWp4Ybk4e9SaHakq9kLCSjur7ZM3Cc5k
U1uwb8ZGupAGdP2QxB7jD03FdhsvNzrAyGAmqHdDZ6cPda72BHDEPvZjZ58igFphHI36g6HHyW2e
9OdpdZM80cil6+il6pJ0Kv/VeeNV46afkCDSh9gu9E1yBk9wi4aM3PmQhR1vS2TcxXeR6lIfvhxp
2Lym7l9dZzkQaAhNrb2oh2tbT8Kic8rrKYcKQQZO9htRO1GoDdK9NBunuuvXxP5k9nLx4hqlvYE5
8LSQ1w2qWGf7a/pxZ5/5GX4P2W2nY8P0NcspLvqswURrWpDiXfJepPe7jau1zT00LgtSPcMsxy1+
sfjQmG691QmU+TmG/mC1Cm78qG+1OphLxzqkqP5Yc/VnafXujeTn/WHWtNsS2NblmjSfTmeIkGkD
oDERjst72ExXoKf2bmd9k6C8UIxouAFE4wTzMmaBmuIUpYvPWZEH3kByxCXjWpcYwcJRRVCd2mjb
RrjqaRAAtRw14V1PMGCvcWuqR46YzhlXmIgt8UEn9t1ubK/QD6Int3XFXVH0+qXRT/WFqdR8Oc9z
99mRTiz8sYnjh4mM942mW/YXJhLvh0zi8iJLkjQ0Yn5ORADwW6dshZ9Q9G0j++weZl1Y3g2vc094
fxeN4HJVhq3nlnd16ZaHuEnHL0yazuCnplYfFcmFXVfVWCVcvI4wKahJUsgyMqhs9uuR9k+FtQUa
ozXVFlvl0EQPVi3wOwqi5n43AeZcgCXm1JmNU2N6BCqF/J8/VbjKXlpoCKCxuhxLRh3HURSmgxk7
AH5T74oILzyuTJsCk8MQ0fpIs19VwxYEkzd/dYzB3Xm2pi1QFPHQTlPhXXp5U/PmkVLwrK4pvIta
a6CxNtp6PZMIpmRqu/q6XuLuMh3Tu8JZPyzsyUNhDdsY0+tFqyK1H4b1hZAiD/RanP2AWbsfzLUK
YdOVOPjYbnDfgO712rU5t4jI5RXobnUuh5NhtgJO8RBvXfKAF4UGIQUQX0T4L562UUFkEbralt2V
/KhZ4KQhyJkeNfCPT+W8YjX5BA9wJyfjAdDtu2jig1zUm511L7FhWftCacVtAylh3+klWAC9cE/5
CFAvyKukCCpdYJmoEGSuCr1uA5dxRPsi16CMublBnSRtUv92299rXZbhecUw5Vu1gUmxTBBZz/TB
d8jLEgLmZAw3TWSr29yb76O5MPfMIy9fIYusqBCTbu5pLU1fYwqXYy3cZrfMFeTKunb3gPEUvEO2
vU8yxyPNV4FUYzkRvCWz3vEkY+Ho2+pWqnTaj7pQr2XVC78VgwxB3UJ+Vt6FWWb1LW5UsJAQDJtg
7JL6wNDv6UlvEzYdKRGa/UTZ9capVs6sOhkInCpO8s3PlGEOALEOmkVz2FgdHCEIVZ12kU2SvHaq
umsXWGocWrRaw9bwitNoxZrtJw5Q7TyN3V3q6T1LrlWZ4OsMGEOdJ++12eXA4NI0fETjql45sOtH
WhTVDnuVx8M9eDsNadu3ovUWFhZer6L87Gk6bmez1995ho1wMadonw1yvdFGfQhn14N8Mg9tdTBL
qV3qsclwbczk2WWOT+C6pfgIySuDCQZBvxsimQSJaYljoeQjpIULo+iqD1iNCQaYJr63Rq26X22A
HUNNLCSBAcChznNuPQ8DRmzn3t2Ai/7ScPXI51eqH+el8K3A0YQ1tGhs/jITxza1DZ/UnfdI8qV/
cDOGwQZDn/xgYcmv4nGaHyd9SdIgcbNqK6BHvZHlbLiGONvHimm5eZ+oK7EqHFstE3yrtDYPNSaI
q0Schx1rhnpO6iG6ruEa8wDRe5lgfRwLCrbnAgb3CuvYy3fUPHUdNiPqnCxmb9+MLgRXugzJNZ3B
8Smz6AzO2lJcVN7YeZg5oEzhJ3Zpp6ztsi+p145O3jtfk2iMM3sMzLvJrXoL5mApY1+bDONgu5yP
YfFoYp+1NGX9MmHwapPKch+XU/rcdUX72qSWLkJTRzjAu7XqaHxqSh8HYXsgKRYRWsySgIJUFBxs
pCr0UxOP8ZXm6GUoALXsx6gdfc0UANeWuL1hm0y3YDUge7MRq028yOVJE2X5qCUaEyNyyUyjeo04
HJb9VebOt25ERtiXIxijmkvQcEbU5Td/tBwsvDmlZbZIl4HCWoPWMStp32k4qwJw1VQhkZGBKQVs
8IhTk4aprlPf8b+bH3kdzeG4jsa1GAs8YRoFz1XUaliA4yh9BZRWYqkWaI/gTqwpuTPjuN/ljUmx
+xuXoYKm4bdqueNCaaHX7axxqCrMHZv6sptdp9hnpqabT0UUdd+jgY93Y9A5LC8Mq8Bnz8EAt52H
uwdvSiTcJciXrJ3O00U17fo3wINY8FKGs22/DMVcQDCX5l2+mt4+0ZIGA/RYYZOlwk8rnna7xt0K
Lh5P7dSwFKygv/0oS7x4W5SEg3vmkrNpr7IO8aAvxul3NERiI1QRGFl9m/HTh7mxK4KhXveYjDYR
ZQ2vytSgy3aanL8xbeIN4uw9XaxaVXzYsM+2XQ04crOwwxIux3l2KtxifTZwqn+TmnQu9dXWPrn0
5nWIJjxhTCHpL9gKWQb+CJ2ATbRcdZUjmVRPRHU72qN+ohumWM9H/P/BiLE7aKApXSd4Sq9AWKRv
v3Ep3KmRHymYMbrrLNzPjZBghKU5HdM+lvhwJ61s/DNu57VrGCGf11b0gqTEczXmCQe9pLovx0ie
otZW2VaT5kdu0IA6wy2s3kI8oZ+5OxMusgxw5brSAvPLVVN3yeLmDzP23a2p1+oIqFRcZ3am0fho
hxbj+1h226Vc+8NSNEZYa0nbh4VRtc/o+uM+Zft6ApoZ9azwsZP60AC7i3ZNs/eKcimcpgrje62r
YyMHcQPCRnMAsvaA0WfADdoGU05UbuZ5iTowf8yNseZxvUyF4GDAafjDsBt5oLuqSGDNX50Yv9pO
e9Q5Avh5Ciobg84cyIoJ33ihtU1ll8NTWyt1AcbXO4HNS75IvQKAgIG2gCz32BkKCmtfagYA/sYS
Z2JH0m3Wuda+4BJFoCRc87sz7Kn7cX6JEnfAhPNgjq2YOYEGnkl/HfHY+w5y5gI4cMHwJGAWwPjG
F7VEHMHXJ7ttQf9nK1AprS4ZAiCJKc+Re4M52L7sWYNtLisKkv6/qDuz5biRNEu/yjzAoAyrA7ic
AGJnMLgrqBsYRVKOfYdjefr5oKyerq7utrYxm7nom7Q0pcQUg4D7v5zzHVzh+GKs4az6Zjm2o417
v5nfdb4K2l/NsUMaE+KG+3kCIy29KWzn5ac3MIeTe7+w312EsFe9ca0bbmy+c67hDfPF/siOq9oy
XbLeuJ1Q0McNGJpodu41pAwBtUy6GfPMC1ckSVwWzRnIGljTvqm/5nxi3FYM4Ldqel1tAuptNWMf
BVE5u0GFC5SP0HCOHSWt3NRcViPSSq5kFH3TXrSLtq/0Lg+LVgDZl4NZ33emVu50u3WPlWtKfcNJ
ZzzX8E4+GWWkfjim3qQHWjodF6N7ImQ5fgASsSl8pF/0gIN1iSJ0WynP4Sxm0P6eR5gBP/Eevoxp
s3RFPIke3T9Xyr+NmuW+xYtAOz23iLa8BRk4ZoTQ4e49DamwLp4axBrx29yUIdJzgfMAW1VVb81J
jUEC3wa5rD9eptHLbGYJ2rz1rZhtXUl/9eiCK9jZalTn1vWTT9kuXMDEYwb4HqZrlsjytUCb/yLl
sDxpmnTf2NcT3oBFAYuEPTTW1pN6haYtNazQLvtVIILM0Kpz8xnosk8/m0Sgffv6aCxAOmpYSgHO
wRT5SabKwIYJsvHtqUj2KIO7Pdd0qkN+wDdDcjsSTj+2JeXWDGoy8aFfCA1cK4SpkdI+WpL+yBba
W4K5a+pi1+EfeuoNTz/klPcVp6nXjLRdZoJvyRm1xySf0/sGaNrJa4p+H1cI78bREXeTXTZ4Bww4
Yw30Jdzm9EAd9O42SmsQ4tUDwBnr1ZiiTdmaP5NKfKAQdjYOOQqwwoRqtiJeCrSHrQj6Ob+IIXKA
5Mb6U12BemxKyzsV85hfki57KWMf7mKu4t8N5s9nt7XtFyyP0TGhBNlqjXqOTJSR4LjGp7EY9cOQ
kzAxcZNiJMVqI9PhKdIW+SyWoth3CN8xhTBlZqBrXUYUqntH1P1u6KpywzLkffBa/azLHLlwhFwy
b939gF8GXFX/u6db+ZoXWN61hm4YQgamKyCMis1XltTFEctQvm0wLuzdGPhNDr2j4gm35HaxlvgF
uM1uYR9rgYsBpE44BJC6T7srlrMEhnn1QKI5gDvRcm80TtKS+dPejvRhV0H2bTZ1b3pob68NeCic
SlmtgtbpiJuAsIcKlNVyjXYJoXeLWgQ8rJ+W9yrRhvfCd74GT5P7QZuM41z2/G4PLf+gtwEQzDtz
6Q9aTX9X4Ug5t018ZfZbsTtYI0TSx0pz9F8I5UeOJtphcywmxvlqPjMAewVQx1hBdwMWD4GZJAz7
1FAfrTY5yxLNV99O+RcpH0mQWe3PZZF3iOkQScukQllmmBK1ZO2ZXAcapCqHFmhxkqNrzh3UFB/c
wKYv2WRRerhnR5uyoIXKuRH57G4qy4H6auBYitZ2wgFy+7PEhXwuVGaHKL1p2odphxS0C3UXNWeI
Bu5XhYz+WTSS4EsZm+gxR80UO3tO+0OOzdVm1lLFJ0dLMrG3CsN5b5WhyY+IX+D1bGtB3+sbL/D2
cB6OimlbNqstNo66RrwvtovnzQSw+DWjDGTCj5FmR89NjX8PHFHl713PPOKHDqXXmKfGMfEzlGoc
54Nyl+QD9TO3opvySLWJUaUvWrKkrBwNK/Y/JFpg6DGO5QZ6gxb4LBL6k0CSlzO++36aPfrSdawj
6+w0D9CArwdckt4R7YdvOZsmGC74TGbI/phSuA+FzgqB89QXzQae71OKBegZ/D2nLedGubfShZnm
GIGuAuYl3Pe6zIePuYJ9+Qf11Nr+UGwg9SEIpK8LTOgku2XpzQAUjdEfUofrHhUw04hEKrrFqEZd
QhLLjUEx7gtzxBw89e7JFQ4zfM3FeNU7nFb5vdCh9qFDuFqpeeyK+iPWIVGz57o63O+yKq+WJs9d
2uORM8BpbmxZykeHguTCExe/46No6IibzdhJ/c6dja8W0vWqc68PiPsTtktzsylSf68K/6eS6slp
ppsddVO/4cXljV+s5kj08UZ6sl9dftW9j8A0EC0PepEwbISvs4psjOGJu7vkhsyYkqWAzbe0AXSq
vWYDUMmxLnwvCv5La1tdsMbTlGUMzNiN6JkQEqIyEWylar8bn30Y6K9yqAlHTiyG1LnT3GMKf9Dz
7NJZWrQl0wZDoRczpOiqKLrRLxT6FlVaE7pQUY+qsvqfuMiAOrYgD89wEXQZKCdLKXwT1sJNz6Vb
DJIjLwarC/Uwlf5h1o0h1Gl1CCDMiupex8Pw3Iy+QaHF/DTRNZYjTvreSc3Yz4oTl9nqdEkqpw2J
Ilpus0vXVgSssphsANhNrijGb+NoWI9ywfqz63pr/lnrSXYYqI4vtt8Lko4W7DMNaz1KogVTazr7
+mXKNb3ZuC4fA3owDd9LJ6OrxWjok96ULmRJo/tESVz4PZ8fn6QWu8Y2wnfzSguHmrRt97hng7Ew
9LPta+wLOpW9YnQ/tEM97pxifOs71KEQBl9ZIO8xArqHnF0SxhCyUPQZk0rotA4z7lSDBMpKkXMl
eUVEnq9eMToTxYO2yYXe/i6X5L5uXExkyQzfuA3LMa+2ggQR0JB2FixewgSe5OHYtEjfQWmD5c2s
YT/OhUmPjxqG5Asn+WUOWAURNdbjAUJWeyMzkNmqsJujk5rNV0n+ATookwdkxFOfbAA4qufcMcwp
aIw+O2TIYRmugUpzY694xUcGcHlgWOcHYKAX/l4uTLFSyMe4ye57d6CyUHVyYnPCysEs8sPU+viH
WixqzcYmoftpmZLygPBsXDmnnnkAng9aGkoL6wQw1Tc8CMnnYrRGUCKueRY1rj/qwjo5O4vNEea4
6oHADX+jTLIcOTe0M25X+G1eU9nH1lR2CX9tzO5H6piTgpmIW460CrZpMQgovNIrza3XTWA8PR95
oJnDW9Zh9vK8xdsmQrX7EWsxZR25TW7NNTjGzt7pqKA2jujNCx1ctYlbtooqbJrlsay/iFHRvkE1
agFwNu0uWyvecTGTJ/R61b3lqyGoIEY+pMuCu9ZIrQefcdCbHZvu1vMJMibRp6Tfc/qNuXRm4GQg
W+0U2S+7vOwOnRP+EldRO0fNeObExfVKLbcbOKX3wsrY+1ftuhlrIuMHkQ31KWILFNaZj5svsbCY
AhG4EHnkfEK7wMTFVI/LI0vhAgy2g9901IiKiocxZIZkhXpMOkOdaf2tTWLnmTAu1jG1waMk4XGN
AMSfHKRam4o91Bot1YUphywDKoUbDLMX05RsJjc1c4rnpKizPWLw/kcTcdZVusVCfyxRtm1m8LyE
TWkr3zkvDTZL0iVz3K3iTzJFzHdYecl1NrsmZJ2oBSZCxU1FElYArUMFJnFTfFJ5FaSlNWOa8bhy
ZKX46YxV431oo/YO3PpbKte6YEV+4IFiWs80iWzRPn2INaMYsH23a+dgx8V07y+srvcAUrthX3F4
4jNuO3XgsW4oH1dfylh48RGzlHx1G30NAtMTpYeVT2pAoPHJIhlY/LtSGdHBcYv205TjxmLmHrlW
f4XbNh9LnWwFYjZUG/Rjinwm7pPoUTIseubpSn5kZP3dRtPKQ+ECvJeAfHfQ9ZerIOI5aFzs05to
Vqydc0O/obrsXzMgAyGOxIZx+GJ4x7g1mwDZmPz25eKFNWjXLUzB+bnxm/quLMpix22Rb4XbdieI
XzX9KAxc1i/Gny55CDDwNmctpfsyZZ6fnFkaRxj0AHG4Q8ijyMkE62zssgxa+uMSZ9pHJqV4szoK
bWINQAdpcccc1o33U5ImO6MX29ychi/Nb8zjX/RC1xwJlAa8fhct4/TAE5lTUtvteyVU+mn5a7xY
LJdn1zXVuJnpdwC8sT5GwRAyNd6gb+SfGVOSl1lG/hCw3PCmQFd992xMRXdvZ1Xj3OteqU79jIed
GfVIXjC91qFJYjbo4OgfZism/EYThXHwjTjf1qJHo7KyRVw/dV/IGTbv4xo6p2m4DG1yc+R95tXD
3McS01vy1xgKiNNoSKiWrrpolfbqltq3hbTzhUSF5qkiynmnVVOyVrXgg+0kedNhFF7nQbov1pSp
J21W4GvTx5FR68600+GWVaJ7cIC43LQo7rcpQpSzVYExH9xouHGs3ESWW5dZW+uDscjurcw2z2Xe
6ftcxsUDSMgswOqefSkVYZAbTT1oC5XQquicDgisDvSGCYh0fMZxgPzDgUrfNXvVest7IZsWv9u8
mJ9QCajHulon2ow6+ZwmxJFhe2QuC+cu7Fbah6wHcO7EF+3ppT2OJrh8RS2Y+4h+31rucKrHCDil
MIyb48NGZaCpVgdbUhiPDFuTs1p6a8fMNuWrutOuqvXsKGEEPNRu020L3zdCLS69M5ZJRLHl75F5
jZi4M3LQfnvKaL9dg19wdKexHkRdWh4awdQYHNq7F8dfqJS+PaatgWSLnUTGbnKRqDWdSPd1U32T
zFdtfKHtS5IZN8WccfjNdhgX6k628m50q7dp4NiZFjcEZc260ph19sbxllc2GAw7VIlrHHNVP8/4
GFEMBa6uYmynZR44Y4ICga0QqMyJRZY3MO4pcANLUzssenPKLfswpPOd3TD9ng3BRogveeg8wB12
L9Ej10tCMzkM6U8X7NROczFBem6SPZvsv16cko6xWqDEiKIy9v9zqXTqRlb3Wzfr5YcWx/aFFljf
LeQp7Msu6V7/iPP+X/vD/ht5QegXsYetoeL/uRnk8lGyrmj/vUFs/WN/uUF8jB3cVDoEI8c0/kJY
/eUG8c2/+ZgxmP46tumDl0Jl+C9uEOdvAqEjEYDApyxndYH9HzeI9TcPrrPDV7Rws1uW+L9xg5je
PylhsVk6/G/QHPoOkC3HW4Wq/6Dzd1ji1JpOrFxK3skBRWcWyMQ/2f3CgoK7RQaQI14yLy33Nopj
IleW6ZUUPu25NJIfrfSbC8DRBUVLMZ05z9VTp+xHkDr0fouxonHt5GBOlU6B3ElWD230ZptewfhS
O2Jg9AOY0cM5z7onrcxYG6ZT/ItNIqN4lXLkqhwYeep5jGoLKKOdmHvc6+R5aiSZLGFNotaLP/Na
TxEUIqg49aVN7YlKu5n1oEBPws0Wpfg5M5eENd92Dn7HgjMfivjGsvw7W7TSha9vNQxekvRnYqa/
RtZmh8S279MSslcW59l5BGkVdpbNhMmef+saB59NoPL95CBf7zDjPnGTNxc/cw4zKyzKBIOpQuJg
5mwpMekNdb5QclNTyvHV11CstJJQu64b6SZpr/Hlp28pAVsFiy65axGCYggxMSGMfVE/6WP6NTqd
vdL5I3LfZhz4hj52gdfpPwsuO74UZO/9bK5DTd+Wz6zrgt4atWc1uPmjyjnb8pHWOWTwr9PTuiwZ
2GXF6BBLg4bRAH3XBeaoR+DC2gzDbx7rsNl7NoqROWloYeyCG7RsVThouTAPeR1L7Uj8V36uJ07u
XbSYK+wDQVB0pp/q1S72NP+sqm740Ztt1B67RnTxnrkLiW69gxs7puISoXJmKjfEsRS4KbsUm07B
1j9FY01vJRJKtfHQMVgb222aGdp60fvbWZv9B0ztONOLxoZFRl2LyGPEcahvKN+TG0Dl9sIm0155
NasgWRqRfY1libCpH7HotSBGUEy0/TrrVldcD53xOGc96xKCBFlg6LaL03+0kVex/jfG8SmFTBwf
3HkamhNPmMX940n6oM5tzHv8h+Xvqk6Ks9uCR9uSKYjyVgluGbZ/CRk1GAn8Damr4MyBXz12Sh5p
f5jROyslxsm2vd4XofIsnaLRlVvbukdoecs792FKcyhobJODLmnJB7PjDXCuS15D/yem/Altyq+o
tp8HXFezAY49ATROQuIFokBzl8ootLLqKOKLKNTaA/sZRNJlXcvzIzNHJ+wLvNxSzwB7z5b2zeNM
2kFJYLv+YPaJFhLr+4i+rt4RyLcpOKJ2fmHW7BmH39byWNCkdx5/hhL7Vmhm+tihZKpFDJGlbclx
XkMzYHQIYr21LzvJs2cfOBQD5e7BEyhBMRdgUCUoVLEFO+QOakrkIS+FpeJ9lrF+HXNLHhpGbhsh
iD/wZ+DNzKuR+i1Qe/CEah82ot1N40JlqGLGo9ilVe3KAzIggo5W8xLEMkQtPpEPEWyIi56k4qc/
y2czL1ixe+ZA8lFe88qkO7AXXmhYbh+gqXM/0Z9329aYt4Y3dXck+0yIrKm0yzw6Ksd95ui7yNSR
G6tBWJIl3q4vcEykOSkCsyn2DSLlovaYvQr9Kwc9tZkEnUnGECIeq0AtNvPCznvRFmV8Ax7Ifg2L
/P0Pt9N/YJIzxWqi+Ffjg2czqISkKAz088jAXfefTBZljT5TJYZ/AGPGmI4oRJp7Gq9QTrVzjSvB
W6Itg1NvkUR3F8ZlCaVmFSG9UqTJIP8ZY85JoB2MY6rIf0hhTPlbOWXtzHOZeKSJsDFSm0Rl81vV
lsYnDTjvs9GOjKOw3TMugADTinCuhhZAQN2qU2bEQ7yPpdDaY2s4HBaEGJ7VnCrFims9TbQ/J0vz
55Tp1gNnKqZYO4JXIFuU91KFcdtS3w+6re08aDxPfaoxzc0b3T22DUtdtKfyk4FBBcBP7phLD3c5
ZTFptNZuSBJ+mqm60+14PDt6eTbTDJpWlKaMExlMZyDMwqIgSAnOv9iowXpCHdkD8hbdnSgjZ980
ZglMu3cCo0q6sJiiPWGIJim+bv9teKR8twpcENtzqEZZ1xTgBTODyjVVFY0LJO1536FlhZGip1Te
hBJxCqGuSrPnhIpyPMOJKYI8HWGtOZO5nVi0MbDVitD3ZflGNMryICKBpkcv7pOqTc+0bPbDYJMd
yiZDlu8cCl2QExi6c6qxCl3STpj3sDq/qnrwvmSPSzkp08cWN96J5JSSHqtIjYtuG9k96gz4hH3b
E0OXw01I7grMSeeYDN9r6RXa3lWx/elFCvaUlvcPEWHim8qV8jOixp/pGpvh5+xweikCva+RM+iP
WFHzsDKMXzbhiAd96optVzkNAaxF+5DHWKITx9znRTXvjcY4cdu1G4Yr6uzJxgvF1DbbMe7aoDND
wvg8thfzHXLFGy3jtOWT+5FLrn/SayO+E580ZC9WG7M2XgqfFUo2TIfWhhKZ5eS4TdaX1I0Rnp/2
2VgpGhFAsfs67k8MK8KYdITcNM44JX5EEpIiOq1KsZcFHyEr/16HQEYg2uDspmX4WoEU6L+t74rk
xUs21DbKX73deZPmHZBrfxCB1Z1Yk6ugQ9v5NbMgPCnhdY9FZSK07Bx2rDX+lqIAnYkZ7pNi0Qnw
Kn0pGzWZxkI0AGgHPMlIkrOdau+weiXeSd24Lxv/ktKmBVY2mNsSaVaIlw/AWg+wGaFnucELtASi
HoaQPp2RPKeVPaZbWCchVQKdV9dfYLW14cyyce/a9WrlM5/Ryk2X3DCSo1mY5R39j6D4MMQ9oEnj
MXNKutVSbhl1JUwKoBhKXJcEL2KMPJE5y24Xn4j93UW52pqDUf/OFKIxru9qZw9LFRYd6iOrMPmv
a4OZWlm6b0Y6/CAfzPl9YuzXbcQ0mz/cGYgl+M9Cv5GHCCWzt3XcqGQp/SZx0gS3Gkm0bwA0xcbB
zVXvtXaIycUkPIZAFe7odr2tsz8Xd/3nEmeqzYVuuTk5vN6fi179ufQR51EAQKemGJj+FAb2nyJB
rPVCvFYO/1/6qP+Us/H5j0zh/07dFr3MP9xl/w7E8b/Kr7j9+B8P7cfXdxf/m4brz5/8q9nyaLYE
SeQ0M396rdXp+1ezBY3DpWuyBN4xD3u+g/Xq782W4f/NELRf2DtcRvJ0YX833hvm34QJigNIoYOZ
HaL6v3BC/n7V/gVI+Y8xwv8Evne5dBHE4CYDWSxwlP2zYxPTvaaMIe0BjQKbeI4Hz3tZXK1kxVj5
4mozXu9CzSDFhfkgr4Tep6jZpPNfuMzWHvbf1ACuzV8DoTgsYweDNYbOf/Lm644SCbWzCbuOuBco
TwOhSz5VjCxM1uCJfzcJUEM4PIqIIXRdYXdDg48BCh4Gv5TsNK74fZXFxU8npowoY3LK2FskSVjA
cX8ABRodF5NjmZNtuI/xiCCYaqhubfJVHjmyUVlyXx7xB7fAlrSFyDWZIx9vM/agjjtvS0ibQawP
4w0LvUvQimArm7IDPQtk/lyPwJSDlN8Pumxg/QwJZ/qoSNAOhtS+J3dEO3giRYm8sCL6oFbNL46F
sGIDdgsi56Q350nAguS9/2VZ/fJlYJB6oe3z99VsMS3Mxu6BGpXrAQl0UkF2q371rtcdB9YD19ju
uY8qw4Ro5g2rr6F/kMKKkGAAAtNT65Qj/SNsAOkJoKRXqCo4SVJ77pjpG+JmDDS+ldDN13hETjSQ
03FkhE0Dy7ARBaHUdvwWHQ1dRL1MyXXocAPfSc0ajwp+BPKdfFfOcg4bmuHz3GsYo5Dzb2vGsVt3
aEhcgWho7WYXjzCATiCGzJZfHFz9oZ+slbBEN5qXo3NDDhdt27lrt1ar64e6sxa+tQYmNFy4Qmjj
RdJ5vwzjpP0YRxJGU/hgB8TJ+qatzGTbVHUaWEurvpoiRc5bZOWjXXggdCOhDZexLtpTIi3uQELX
uoktXdwcvFI7c4lCzp80sQMafUU/DWBLz5C6LTqZfAX0KI11GROs0t9nFn1/14k1FGjODyKmHYkg
VXewWzrmpPmQAHKKSU5xueLCsWiTg4W+N6z7lrDtLOtvSIB7Rl/c/AsRckiXNO2Xu4CN8VQ53xcO
Dh9/5HlKeKy4kcgPqq2uWP9NfEnySPZEeMkfC7jPdfin5ou0R8J048p4BBhsPAyFmq56rS0MVNUE
+KamuvLLa7KK/OJiWPY17tnHPHfEPs/t5dHuI/J3Fw0SuEXYmqIGfGBnwg4aAcPW4hbcEoAN3ruB
1efEDdr5cq2f3L4+VGNdv+WlZfHTpKIu8yzeln7x2yIRZWuMfvES2WhCXYJ02G/w1Ye4EQc1+cvd
BJ3hWDm9ty9LaW4t6GZIcwsXb7Dm+9tW6gxTCLMPW2klh5agzG0mZ+haroMaC19g6+wGy1Ek/wnB
uwbGOdTqie68pIE8pMxsT3PMhmmwJnFNOs16UkjF9LK7n+oF6pyqVvOojQ85L1VoK2FcpBdffQ6Z
LUb8qz5Q54L3C6ReomgzrOST3Vb8uwApFvj4WOn0l+huJn75urhWc5Oc+gcClAUwZFVfSuRvx6VU
DjMiV1zZ1ekUPk70JEvb+jBrj3okhevQj8Pw2dp588TJ7DH7rtqfJsjJYMWgkQUmChJa8QmVJPZJ
kR2Z8AUkJrRrDuowzHtnQXAbxuCDZqbjzbCL4ow9MKLxGh+SPpbhAADiArKWnNBWS3dYUqwgrjxq
sGitUACLuz3UUd1C+Dsoq0eQMTIMSaI3CxjE1S6SagkY3VWowuK1c/JJUXHeC8MbHskdFvjl9K59
6xAMB8zO5BXaJexFZmIX6IrzjjONrgIX/Wmci/i9NkqlAk/SXhSxIuNxsvxst9RjyeYVnYt1F9eZ
c3JJ0LG3Vu1/z0zFJbCDkkJ76MuTR7D9zU781U5ZFTYwFwudCVGB+5KZ/bKB1l//TqpsrrfR0va/
3c7rQAUs/Q0KFfJlUV2hzf1oprHDM6AbG98QKBzIngAfmxtgW0Aq9Lz/i/1OAKJgnB3L6mYXpMP5
KdxMXx/dYzSyBJmLAguLGY056CiI/EHfRPmDEY84m4totKejSGfl39VFZGTfqNa64clIC/uZBYw1
7fpaqz86XoWPKDLLtyqPNdAUgrI/qrigtwzDFt7eZXytU7vVuKQi+00qdcuQEp5nD+ElNq+5DYQY
F3aQPeFlemKNJImvzz8YReuJeQmBaWlZknaXzOK3MZvOE1dh5x1HN83Tx77rqmOP2eZ5aBtKAtpB
EZIhazr3yEea37LosAPHiSt+lJh5Pslano8ogpw98zNxxv3uffuFa2DENeHpap6BHWwdfmK8G5tn
M3bEpVxhOFmWu3tloPixOw3cMJic5r3AYfdkc1o/I8ttDmmpqZ3sJAkyBJx6Yu1Ap4u1RNYBHYHc
uqhidsCB3Q07c/etQznjXTvceOlJZU+ar7xzaqa4S+xMYquqopo5C5vgH5XfJu+jAypr09YJK/Qi
l721TarB+SmwL5TXdEG+ve2TEkIv/mF9mxurpp6dpsEk2ao4bjX0BaMz3vK2Nl4tbbSe8Y8UJ9/o
iEexpuoaQV55LYVPX2Z0GQJcxZeg1hpTEiCZWOYTOpWmMvuz4dok/fmehv/TrOgsIRyU41IR8ziZ
O0/hMQpMGanXdjLwWmZpw/hRlKBw56ww+y3IJOROyxrExS4Jr3YKijscpTxGXTX9il08TBVynh8S
l8bFtWRB/nGMmKGwAQHzAYMd5f4s2BBpOBWPrJ2XK6xYtI6N3yGRJb+bWszbQ22H0FQWWUFeIpSg
fjpj7NVsaLzjYOJTI/361FVpfKKcqcLZJBXzhbJBvNjdEE9kPnO/k0jhGg9ZA9N1BDfDUJ61YpC2
VvvEn9o5jCX37bDiHwqnDEWuu+dRdvM2rsD3hGXXdrc6Emg9U2dm7W32uyhrWQoAid+VDboBgGX5
PqoWeVXIEHe9zTNqx613J6BoItBixsDas7a/Y/04teVN6MMHWEs8Z9nJdG8t7EwzgF6PfmXSul/U
l9WuN5walxW+ux9kEzQPeYvTDf52nuFiFd79mg257GciBNOwy/y9p2VpCCgR50hEzmHKInqPR5Hx
XYky9L4ipSXwnMEAmYOacYp0Y35AdGziUKkW5yL8Qj3ETqyBp7Ly9JxgfHlRA2x7kzTGPWLU/Jh2
ToruOrZIeayr+VshbXEDWeET8Xo/Ckt0sUnI1Ni1cKdbog5QKVXFtmJMMm2nstPTiJUGQDfkCai1
vG5KMJbWTPCjqJAHZxrt41K1NROItrwr3UG/T9HWmNS32dtUxZZ5Qk+mhelouNHBRwaSH9iMlCt5
B02TsTgHvmXGyggLD8yCjV8DIM0HezQ76mrQ78+cNrHDgzsMdRhPDEXaPtoWKmL+Jn3M397OcjOy
xdDF7WVUsvR0HAjhQ659LGNErgSR4drJS9OPxtL8a2O5MS71xcy/h9KVV1woDrd/D96gJe+NZeUc
kVFg6+XFxZXKkkTpb2i1/AcuuOZc6aN99tFR7XTbHHbQQ3gmpir6DQ8632YMXq+TwzJmU7jDahp2
DU7RWnvTBK4ueAgRjme/LvU9UhsEI2janqAv2Kvyz7Tu20j3AxZE04eT5tHjzCm+N6UGQaJ3KMsM
lrJD3n23NjmCQuro3LBxcHPKiKJzMZB9jnhhKAqS0WIOGBXbdM7crUJACKTAtbeCiwZzbJNuiyRy
L3Ocx2/G0N43puh3xKt2e6ZoHdRgmpu71VFxFlnrcpCY+XCo6DFCH6HoEUfn/EiuKkD5vMRcn78K
s/gG/nXtlcfqyYizoJkyfYfhczxqCdD9Fkts5brMQox+ueZNUzBibYdrRfW1ITxQ3sVLFh/Ye48n
1/iVIavr2YHgys8CXU7zwdLsmF4K5e2afbAzuJDkRv1x0ydSHkQyzAH6500VH6fEOcWzuGtLec6W
RFykK40zdkFWRPBh0KHVTh3mpINQMhZf3thI+OBqfEGRSRFdyioQ3lwzp8ySEH9p9ihnKtqoRRHs
9YP9aBuFd1J6rba9gQjH1bxkj9ouPQ+zCznDqlqDEhTyB4+hE7iYgbbahGi8cqZDlAuxR2B68rIe
HxyBN168113FMz0HY+lgHMBHeCL4Nw1a5vXn1nT0cGbRT59VVcPRcAsiKZBS41XEaxHAurTDZZkO
dtIcGp0aYrGVFzimwH0g0vwYLQXnn1L8qBkka1jJZ21bdbF2jmXj33SnthnizsYPrIF24DcyP9UM
BENDM+Qlx4axdUZfoRpLzZ+kA1s/kE7UT1TA6REtM762MlodgbX2ZKgBCubSZJyVDrw0lKLxXYtf
/RIXzbLVKdo+wVXQQhs1lEy7r74seBKYqPu7qUnXQaUTwv7+pU/cfWSRLMj5seJrL0RPamdgm/Cc
R787aHPuHidzgEbPQurZI0wlLGWT4jykgFVuaW3hvXshZrk7PS4BRwAxEdgIY8umi9TZe6opo04o
2w/CvOyw0KwosGnxj51lHkgt1k66lRCxYYz9/SogOrF5grMdQ3oHb2ba7X1lrsEZlyHT2dl4O6j3
71k8XstRx5kXT8+en+7wwT7NRXuIMmO9lgSUBWNV0hTtuoS+FQV2PJV8tAw2grzNGpTQJbGX01Ac
EIVysI9WeWdno8lzjO3S9zL46HEBO89ezphFta3rePlhHbjac8Z0mITpQ6SXyZGYHbm31PCsW6TH
eXP5v6k7k+bIkcTM/pUxnQdt2NwBHHSJfWVEkEEmmRcYySSx75sDv14P7Na0umdGNjroMCYzmWRV
lVWZjADcv+V95M5SLngTs8oJHw7I+zrZ+R0SbPJpmXHBELHD3m805HIVdzwjTV3bEfq0VgK/cRt4
mU/23vGPM2tmrdH/InfETZ9afOycogDh3FXOCqBCv6/TJN1Gzt7o4Ohl5m6ysmpdGpF4pnfb4lc4
1nMU0+JZ1HBY1sIceTEmWZbJBZxxt1u6MaL0RJP2RRu8dOVaXFEmPLdFNnnlMSz0/ql0smsidBxK
wd/P6jJsgkObVV+5EvU5S0YtI65Mn5EH/EEv6fqQ4d8gMZX72CW+jkmbrEwMoPNkGj2hNVP/tPj9
oYx3Sbt0WP98ZbOg2vf4+Few0GLj670BMY9GXZASyKuUviGrAw4Do4mM4qslNf2RRRtKO6byxhtu
owOfVZP1phWuuR2ifO6A6/zRExmnGzd464F+DC0iArZk8e2VLOVAQptCW28V5wD7nUX3L9vCNm0m
5+B5T0pP2IC0rmPETEMbfQxB9wXwWloLvSw4iJvYTeQ9g2rXAGLd8NrUloNICXGbmr4utGx46JLe
4JatRTveXLvEEDuD+YrBhsRMAIcMe7bDxuELxdgIb9svOWAS58LbNs60E5pxFMQ+F5y1NlXfv3Xm
gI2tLCvZV7wOnmpDHx8sP3zrLHNa1oX2YkWeuGSxat81YYGYozuWJxxb2F6ihltxG+OIoj0pzzoX
FhX1mDKUU5TyxEoR0QphvvIADxZSr8SLRQ+BSBXWKzXWl8yRUCelW5NXCDecoZd1mSzHov3qdNC4
Pa/mhedQE6XFTNAqk9+JQzoWcnyWKJgf2b2ShJwSjO2o6me6r+VsMr+0EDe2aT6+aiUIQ3fe44oG
H4R3CiDjiUt2s0nt6Bz7fbT1jPY61ClHPVbpr2FjPces8C4dRcTZSHXOiwaKEVDNbmE10QbQPM51
ZGIGYno+KKLJK5doFviO2F8JbHCz0deyLop6KYz+YCcnzdOP5RBFfB3zp3m5jG7iwScQsoua7kFO
nqpXTdfRei6M7B5UhXqlBHeIJ/DIKReORVaqHTBDtW3LyKRyrsZiH7XUZTTqEnvNCM1dQsPwWk19
8DtIDJbDHOudK//dYuttuJrsgRnVHwed685qcrGnheTvQ5Shda76Ezh6LtTspmzIiLo720xj7ibd
JciQW7quKF/Y3ph2SUxwEIiVa62NsowXedvXq6ocy5PpoJhxbfA3FD/k0xQO0dLXJ3UuJluhZZqy
2ksZw4UHQQCoXZ20ud7uDbHiB6UH29L0o7VjOiODY6UVPfdC2Q98zrBsxtMooQTFPhwsWmKoXvsp
pjzEP9u8No2t7eFRRevC0scV/07nkxozLEePAoIfP1H4DLcOjfBt7ZXJi5ajfFeivnZWzn9XBFEk
gZhMvAWUU8B7nnMym2NxCODDTMtHicVG/6hfj5Nj07HVqnw/lYBVqmF4E0VP/pmn+F5CNTgzbgCv
ow81JOI0IViPfMNpeVCWe3KCknQwuhDYfRLwycq3EKHCPEShqsQfB6lr0ZDzv+YyVjdAZJWxSmY9
HAtuQElVG4r0wS+KBcmpwdY95JZU5bqJYsLzmt/kbLeMingzQIvfdTy02zaxBNtgrMUVYdKtMtqp
q2jS6xjIGqFEngtjatBQcvrg1MvxmItYe/FN2hpxydVj3WiGcSe9BQqHdXVwbSnbDyfVcCRz/NLY
9QOFBMKMOZ/OPCPFrkbpPDgQkphmb6od/4i11s2oPXGXN18iLxV7wrjVdxOWHB19uzmRukDC0Sz9
BqsluGiysLZVWOO/NTkHIENWxjqIOt68fZmJE/naVc3hzwItXi9iVIqTVwvzifXC4JCOpnnnwZ9f
OmmF256eAzkaLPitCaW02ig9M+H6V4xkcPkvefURHx3tikilqDqUsGI0w3dX8rzA/h2SZ9Nwz50H
E9UZh/waVwVYMmV/+Rj3H7plFOHKdC3/j59G2Z1jyFvsiYS5r/pmds2d/FS/6mfBq5uGXTuN5Sbh
7HxUSufjil+5dGXe7xTDYu8lU3k7t7TjJX6fvu4LoOUB8iD1nmS66l0PYklPsTRHx0U2S8yWr5aN
QCdZgpyrOUUUlw8uNdwlYxLOtg3b534MWSg361+RQfCEiF2+TUwhH6Y2iB5Hral+24HLNJTuO8PW
Ep1dLTubXYVScLEJ/HsYet6eUAfHna4gy9odyajFPPBUfBhN5zvi+E9ygWxaggTFk0BBx+g717sb
acbLpKGgBcIBYq2c960cMgKB9G6hQ0za6FOyPK35mYcuH0YRWWeVcTauKSnRgRq19x7O6tovvN9e
a7g7gEqgpYgQLkfy3Tw8aCxiEaXxXvWmseOty9XYZENPz5/j1IC+ZvDxo2xDVVa52o6LHU3+Or21
kdQWCmNqQ3HoZHBQb1yAQNaEKrnuqT/sgedpD/2oPEQM+x6Wkn9dkmGv1GQAQ+qeq86MkfBrfvNp
uWwN68ISmH7CZoeWBf7mYLjkxI0k8VCGWJhpc/VomDVfzjqn2TwMxsH0vSd2n+1jmOdPOl+ihS6G
DXg4b63a9F6k8cPY0ssEJAWc06TGvWAmc14o6iZ9B2yn3ZiccHgWIo1Co6LiESwYu4RUS11qZtTV
Nh9mKNh8gXggG15dPo+eJv8UwkG1LEIPhFQN2c0Tzb7gY7ga3ZJk9DglJUXdPD63YeNf62maDmMr
3TP0p3SZlPGzCORNNvRwO9t7p/p7TBX7QqjdW1uw9lGP1s3jXHSMwm5ZVwSbsvpl7OJX0RcIrQ27
flXhLLTkBtUtXE0YLE+1sIAzaEX6aOlFfayaol31gQxfhBnLHVlijjSqgV9Yuyu6V86qCkt7TYZQ
2xLGo5x9U3hNZ/KE8SHmu/ZOAobmccqIJJNfNdpLJ/gGBLk4GZ2JL0aYUF+7UBBojLgrBbHPAMFA
U15M0dYdsQS7iNMC/OOR10mW0vnTha0jOUoqhFXm8WN0M/OFzqI9H4BKsXdVmn8YaA18fzqzOPGL
xgf6H8+kEbYIhOam4Pl2husds/HSK+1zSjiY8T4cbtEw9fuAlv3M+Wn1VxHV2p17v3Wa+Ci/qDxl
EhGNPWR1MWxYZEwbqiZQHH9L5fWfodNyr0M08HpMoSQR07HJIXii3trdi2gbyCWa4ms8JvwQ8Jgg
BNJ5iFkCayOOmWlpeffUYFYmVAVLDVmt92w1OeK5C40w36YOOlVORyRHybTtgtOgmV4C4WrsAKSK
7PsU0K3ijySyS+J8TvTMAGe9x47iGJd3ZrThRm1TZMlgXsqipL7tmHSUPGAOr7GTf4bE/GlOt59c
yzX6c1ERr/TK/Ew58GG4TQhWCy1GEmk63T32JAJ5UhT8D32hvDmPsgg5UuriNY8Tvkv8Zb05a5Zs
PqzUjBxCOn6xKbte/Ik5kG+mnt0kYknyjMuqHmgGk5Dv8YRrSAmbMkrFrZM2T7TQmbuIlcNPrwul
tdM0v8Z/YlYhdrF9ULryBUfF/os/nW6Ttwr2HOFP4kT1o1QwBileGvkypuO0jH3YX63GrhDKWriB
qArHAo7G0oWd0kIKkWAFxymGKutIMsQOnNMPhu7aHpwbMf1GYwLXbKkimKiyO0el1iUdtIRCvu+C
3aa0A+FAcqoEj0U2lFXIWkXwLzWSLHyA6eK85xTuKLn78ZUPfrWeNK/bg9czL7QF3r0GRY8dIZPs
49C/2WXbLRs7qGgCT1c6UrRxyswj5TYx3BmaTEsQxQJ59FpGq6Sh4GiZFEojhxHZrjKeA+iX0I7q
rRfRNct7yC0qKJgKjql5KWU4Cz+t4S4Jbh3OVO+4BYabuRH62JU6z/pO/iZWzQJenLOQqHt9fY5d
xC+FBPZoUw1MaWII+47ZNAHUiv3bkA/RBoaDevNb4yudEB0Sj9BtXtfZSx7x7igSyjZMLUe3bvCs
bS8kVJjaq8JogYsipyUzH94xQpbk1pHEoOo6vX2kup1lELmigOqWqVMF9AA8ci1ljDSweCeLxFn6
k6We1JgYu0h0jMcqjwtaMbtq0X60C6xTq3fW85va4eKxdgA1LUsCAaA3Kp16B3Mhqpv3ydqexj1c
oFUcDf26EOWdmxmnlNauty6EtHM8xP0mG2GxjIn5G//NP3IQISPGaXJJGjk6j1Emj4Lu4LKP45Qc
aNCfgUyJX442rbNAHzZxZI27pm2dXVKW9bGcjGiTdI3+GA5mv8VkQOZsy6FEuxnLatvmg/8U9oq8
FV9LflVMQafKadbzebzyp2pzPrCJvxvUuZe4a0yWFRPwvWVYQmYiBeh8j2POgDXuC3dAXDcF+96D
/GVPfHrQUu/BZHcXqyuv2tzsRM07V0Q993bqxIySSFHQvg8Q4ypdTPwNdQ8moCTnznrfNxh3OCeD
xFJxCqv7kxIdoKyc+jsrSPn3FU1pbg0OCkdbV7s0G9t3ilsg+LxeA7kRiDx64ef7ezSreKsQEXh1
4asznWlwbVM+08/Nq27H5ETtiAL1YIQ0fG1kOsQd/Dt9RTJL6xaT1UkmnyWWYm30R/ZqialVeffW
jtZ4jUfejxRrqX6FXAxqqzg6uYCeUkpKB+TLASsuqjGMHtvKrZCL48aiq8sTui30K17DJhr4/GZi
fDZgQvyZtCy6N17t/MGB806iMw5RF1tg/GufBUWXLjoLjpFBT1tpxauGIXspjIpd5ZxRyjE2tBWB
6/L34MWwzJTfJ0RiI4kUzJnhEw2Um4dZWZeAQO+aYBDoOzcHH2tZag8j2APprGz9GGQRX+24xWDS
RMUAvPbm16r+7QGrkeA7epBltcPbhh2Z+NNHrOSaYA+wCAYj3pHZgb9SdNUvhKG3KJw+BuWlvMZl
/WyZYbqPKsH+Ia/T6NXg/vmrHSGy8RTSx91Qc07nrgF6h2Vj0gHcWVaBFwEvSFR+c8dsAvfiyksL
MHltlumwm8BzQQ6w3HZjAN60N3kJfIWaZOxDsRpabTmmwF7nC06CLLGZnPqG40VcPyrmgkjQqB3o
HQ8rQ3O3WqXMW2Hr/cnRcF5bnkePhDy05YTSv+LQrq6pCOyd2bbBa9jm1nOVtOw9aKRWcHsIhsOm
BHzITmYC86Q2HgAIoDvpdeZieLXNcqiTFUOshInAn/dEZEeE9j4CtMT00KrVDPOkd2m+bHOTkE8+
SULxhUtqFKI8KAmn+Y4NRvjawqee2cTEGYjDT2vTMu4O2v4y0g1vK3marvF3s5OWmlfR59OmgWBM
MQAq/MgAE/d9pT761KrAIriDe7Mxv5lLFLD/9MjIHjFpvSfGCdQVA1t+mG6YH7URuqOd6/2B3sJI
TS9IWcosQvfJHnEZR6t9pa9pJWDX6unMHHiyIUlTb3mVkneJxu7SmdmjIWRyUpy5djH72it7cF+q
jDJ7E1OiXFauip8r8jrXgRFKtdA7O35R1YRHwFAp4aaoL5elNZ1rPhDLPKFPSb/O2TdhsoVRDBUj
i5Ajfdc9xEI8lH6SrTorc3d5MeZ7tAxgU3BQ+Eao4cAYyXSb4hp9s3acbMmynP7K7jOpD8uyfmnS
eoTD+eypcriGNZA5x+cWl9QAxbNBkOFW8S3EJ4xIQ+3YCuH743kjeyYlymuq8gey6/Uyr5O9xXH2
RnYV3YBL1IlePZ1ALk/WuXS8Yofu9+k25d3Wx2MABJyTmGBhMMO00Rlv3MW+0l/DunI2TZp5W2Hb
2bPROTy4WjzpfR7nB6OQ3RFNgEyILdQqMszqJQW3cHYbWFhckytwvxjV1ARlMz/SGfKsJIi6oAri
nalFxDrm0nw2dzIGgFhAT7rR1OlQz31uW09vPKYJJmPJqzVvjmKDJ6kfO7P/KmsDracJxM6PBqQ9
KFXlA88tsST/NR7IE9i40zS/+jZQD27OkuTcV38kYpmuJ4ghl8Az8seKw8XjAJgc6klWvo1pH7N0
2KmefD7L1aFnuN9SWf5L39BQDxkXyFCk/Srhmz9VF+wl71cOFGgFGh3VIITkn1B3XwvYIHui7sU+
Cx3zZkQyerDyBqF8Cmdgx2C1V7SB8DMd8JOp8OTQ5BAiiTsY8jjKxn41kkHxPJsaVEMljt00evVy
TFRKbivCTxC291n5nn3goBJ8IhJyhohnKcqq4hu7mjNTtO7EwW1fZynol+6Tylp4hd6+TezDvqBu
RG/k06YL2oa1DjzAG1PtxV9MNxqPo5I4B36R3v3YD9fYAlzvyWIvLBAuTzTx9G3YVWIJFTZ8pBgw
BTCAu/TQhnHyXRhW/5TzesWYGf0LnW0BwaekU521sb3WGBw7dOCQNlXDu4bLc65f03Qc3pBZ5BnL
iuVI6FoJH3m7ueAY2E9ZxwVcK8bkKSm0DwZz3Y2seX92qX8IA9Vg54j6ElTKYOu0R1ZM+M7AZGhB
oDiRRjCozojYTFBTkpj1aqn1j0AhOACaQ1ev0hwY71QjZDAaNEAdMY1vM3b9IwmdMl+UWgc9aAST
epUcDjaYcbBS6cxvh7rK+Nhy1efqjFqAG2U+DkXjP8aeV6wDggD33I+eeLty5hHcpXn9Wjt2Ix28
tDA5NkmqnimlTDuWNDGe6B7gWXOsBTzSJb+8uBwRo2lQv/Y2RMSFR4MC2QF9eyJXwyMq0pKNo1v2
sTHl9J6Xkdy6oFeXTZtZS48rJ1WwitcVXt8Tali7EwKOyzDN2nupd8034Zpx6RaBeJqAoO37kX1L
fm7NgkuXdyiTQaJp4MTwVQUmbmdQ0/rGQVcYJRU0YnkRH0scbOgDfdTemKRsScbRnWM62N2QJuPM
GUQUk7FunppeldyYG7HTbTZ0lo1rUAgZ8d6/J00K3hRT/pyE/BlIu7HY55PFXFTwH+q4qy+AaJJD
OOPugomg4ILOt8sfuUEov9XOvc+u3VqmmguuO015Bv1PsmJxHJvpuAn7QQCfcosvURU+QEY/fUvb
kZlA1pOiZ5nifwjSV9c+9+Pfidf0D8LCdEGnJQyb9LDdQzvOb/8tcfn/n4Lw0nAtk+W4/ywNf/9K
3/PgPX//hyD83//Jv6Xhjb+wViv/wxLd/0rDO3+hVswPlwQVpV8579/8PQ1P6I77l6Cv7LowIv6e
hxdUjwV5eKpHFBAF20//hUA8v+I/5dBhC1tkfonFs0xp0YH+x+pxlLhRY7ESt2m44Mn5zp7Nt3e+
Sd3Gw137Iu/N6Ux63o69xNkHSptNP2sAYNcsGHRxjkr7IxKkfAtuzawcGJOf7+k0ZsxZois4s8Jg
uYGzZ7WVYBHa4J96ViKmVCECOapsP5ofqSKm5kSimcP3q2Qs4KWdVY3qrwLHX8WOWfcg5ejuo2Fo
FRhFQAa7OObWnQRDTUtw1k3AFbMzMtXrEVaBO4srBDr6JXAPFBf+OFBf+lmIqeHebki+o85ktV3v
B4Jcz3lG22aZ85JnIvxH1dHsWeHJ4TFdkh/dJ2YlgIUEzRPnGQucb9UsEuWzXOTpLsqRcoDylV7s
3/UfZcnUkznUXMmQ/FoNpK770aHa0IoubZr2L/WPTkWOAhdBn6gHDeODMRo9lJpm+Cz0LPutsfcN
2ChtmksL4iZcDbMcxoNDvPg6gyStZWn3MHH0V62YFTRpOf1+rPrh1lM8W9fcN/+4P6pbINX8H55a
hAz5b+9CVP/CrXfFrNfpP9IdP+b8Q856HhnD+XJH5ZX/SBfBT7fCYpvosXExMw89JfnRBqn2pnjD
YGnIuJMc/5ERRwRFO/RdKNLDoXAwAiEhITsiUD52BPMXkFdI8HBOZcyN7Ja/jGbVMoCKTlgWJZMP
VEdkCxSrtqUxa6+D1HHI8XqrftZBEx2r26PHuHO4Ar6Us17KGnt1NGYNVcNVY15dVReHLfFtQYVt
qbXQ+EKPkANTV8RsugyOlA100MQG2DBfqP8GWDsdAC7612KWf8eYD2pN9OmjTXK10S2FMl6YIVK7
e6+qYQkjjSUkMgZXLlvD0pwV5tIq/E3QufZ7ZHTjMZpV6MDCv5Z4aha8l1+6Xr5lVDYWvAh65uf7
F6YB0K6BYKJjAyyInjI17GoVX0uT1eJQHGS5CZxpWCQ5/iRiPuCOruzgZs58Ot00oYVymIzufA+c
c2Nk8pEivITy1OJTkK31X3njuXe7jQvuUhajVZAm6YssSjXP4YDcGJ/IQWNWzb6Bzh8f9diWQj9A
AxzmvzoNhbRf8ti1HwTtgp1RVyn8oNmwwDuJvqHYlpt6yCiBEg5rPvQf/6ObrRAnNwij/vgjAXCt
AbFBjldkhPBmV6TXiXuTRTZhY1xLVQXUVmZ3RoHcI8U3GziWJ/u3cnZ3ogjs76jn4iEhHQ/mz+on
fiVMorTvjEfPrLCQpsryFj4X4bvrKfO5y5xhJwc1fnizRzW2ZlHvTBnbH3y+o+9Q9pa1oNTBcT+f
vS+DviycH0UvAZHPcS6xXRG++PHNsHrw0KilVNvhx1nLgHRuy9luC0lk3fvZgoPgaz6RGrVOtYbx
D4sgl9fwx7/D/2X0oIbIuO3ADFyQoI1bP9t/8YBDiCiSfSJKFPxUZ7OwKZr2BJvBAgQ90dqYTUUj
Tt2H/MdpTGsEpYVDauMoZyvSq4bgiNUen4wfp9L9cS3r2cDUhBw45HC6oB5j4E8mbXZzKRs82qbC
FS8N3MJDOQ3Oc5BmurXsyrH+JJY7LfX5KuHoJYHZWlQErLkoslzPdz5Gml0AjYRTrRXJNoK12ayT
yA0PFuufu8HLHyjTwnQ3NKGtSgsHPMTK2uE9ZTc6AMNS8MVdNzr405r/xYV+yjljWZBvYKSQdfIu
Painc6Iy9xMidHQeAp/Li1lMh6pu+yMlAZK4rdA/5rDWuccuh0XlgzbNhHMkC8bP0Azkyfcqsqvo
rkT3mvyIhEBCqBDdwLkv+zAa4G5z6HlnsQ1B5rXaYPX9iiXNVL768KYSUjmVGa60OOn/2EX0FTel
s5YNWeUwNaJlX2gI3VZ1iDS72opO2Hv4HBfkAGxuejg3A8rFbpyCfB9o/kEPanh6hWQxqU218XUs
cybqfSPANfVtWiVBoJXr2jZXU57eof2rTQaKa1OE5Wuqj+aeWRBjJevoI9b6IT2YOA7wQjzuHAO1
GMTCbiJk79v9o9Hb8Vn1Wrlxk7J9qE3z6Ljid6fKHfQgQATcrhGxWGPPRmqzbmGeDOgjLm65i5kn
ay+cgzSFvSqgcB1NgPnuoinnuen5ELqNQp3/k0HUbEtv91AnPg0OX4yMS02hrlM7clv0mojGzK6v
03dUWyoSqezecA4bb+mHI/GTEf8xD5GBl7kFsKlq03o7VYObLmpUAgJGqjtmYZBkGxNW+qoZwaNM
nWZ9ZW3QR/NUxNxuK1kranQtSJflgOyx1MqG90BkkgtfjGZDEWBKY/mZw8O4OLIdLlESIj3mgAYQ
HtlZ84hegks8F4V74bclEx5VY3y3kPatpe+1gAIMf1Avvh/+8fi4v01Crjj2nMVcQ6NWHr/zQKwe
IapHQAAFV5haNYrfFPA9nZm4W9xH05sWVPo6cFLFyEztDQs9ncCFcY9fWl49nLG3xUdjJgz/zJ5C
YLSUpDwLzkamOcDry/q5cPp8F5DGhEzRHKAydtcy9oMXcG/lNpsG8W3pTvo69Ha5MfGuGNJI8yza
0Wisd0PuCfq7sDFcfvO9Tr/Gzq+8A4YtWzn9gyvc6QDXyH6JuGIeVKOpQ2W6wcqqKpASmWh5ITni
NPU5or5rRjPwjD8r4bXTp1kJfQdcs1lZYvI3TUYaiSCo2CYw/KY2eSYAyuob2qAjhgphCtZkI0gy
gidwVY5E52bduhvqL8seOM8VfBQJgKxNHRQMD+JV1g6wX6S2kuZ40whdESInu52UI+PhxNffaeeX
uDYcKQQLAtGa6/mmbOkQmpMJMqB23ZvEXDgFkPw2Wdn4NJaMeBGNvrkhsk8LGwA0brz5EPTd0TTH
b8NosEdY3tCJINgS7m7arO1JoEiZHLUevGRWUYOhOrZTEG41AJx6M/BW8ZDA761ftzQQ52tppHo0
IPWgByBqHa8BYQtxfeX3ZG2bIbAYI9YkoLXS21g8ysIlOvMb/1B/ijJn+gAMptY+q2gbG4rKSae2
+Is/7xkkIzsA5WUZOZsyTMi5BmQeWZsKD6BnnVvZ8y73MZWYLveTi4kB/jCCLr9RynVPmZ4npzmu
Aw6GAtKVb6inFngn9Yl7SHajpia+Jl0FgOh96nHKNB5EZ8oD27Liywt9D9yzR1xkCKMnCzkGhIO0
0ZOrPHoD8deeeWym+2qiXdpUzmfQ9d7OyeOUeEfcPbS24b6BiCWCRVknXxi86DkXWXF5LscKznYd
YSAVWYBNEIpy5OkB6hbGQL5JG8qxqP9yr9FafYQX0Uyojd2hiJy5E+DlB8KR48tgNflFQRwqpONf
mXdPMHfdamc5GHdjYm0hGydrtp2rjRNJY53VKiCdbRQPqPa86UqfaifnJiwAHs6dJyNy8Yn4pXOV
4Y/ZzS5VxwOP82PxGuaR+O3RCDwYAc0VUTf2yTXakr5eQIZx0dCGuAVmqi2ppnZI8pP69Mc0WUoM
qYXvsosMioVJA4f3uHKc4Fg41bNs++CXq/mcMjOpr2jBvtV1sJ/AiUFTgDydpe8KbvGVN6oCXsOR
d6WLjr6gjsWhj4yMRSgKLrnlKBq6O35ThiiNadpD+dhbwjAOjupSMnsJVkaW+LshpKejg+EDlhTv
nfTP0Oven8AtrX2Mq+dyhCWzMaT150hL5JiSVqF+hJ28MYcC6DzgbnQwbn35NPDHZw/2RRPuuAVW
WF+HLscZwwj/mLNJ+IRGv4/NlrltM3YWXH04TlSetmudsT1nnh7SUI7GJ9+PSGTpcfqeUELkt1Km
a7bswk8uYyYcmBrPEDbzovfa6lnTpuERrwOVGRXEeMudgtEVx+s20KDKnVAjdCfyWKXHdEDGpad1
jWsNaGrp9w2yXoI/3XtU9NxyBJjvDQVFHNKVESItPy8whsnrmKuBTxZWDu1nsoN+d7a0cCkBZDgF
QAXZzdXSyP1mw5O+Ht3unIYd6xNLhcdAe9RccjzVD4ms9TWjFV/VoHZD4N1dZrqX0uija8QrEUhG
jlvpOsFmtMmaYuG3eyCw7VulF/07zJp67VFWftGE6Z1YCPY/Nc5MMxQj75Z9TeSVH4+9pmnDQNiU
lieJFPbmuH7H2UiIPduK1bazNHQib1SUzQkN6Mi9QtWL3NDUqQJoTK6LbZutadFjAZpTYdarwt34
dex+6t4I/MRvKIePoJZ/e1KTZFyI4b7QnTTWpTd6D+0wpa+VIms6QorYUf9X75T+GMUUSW7QIh6h
pENMuQWaRi1GTOqmNc0A9nVIyEp4jrn2E2fa0wNQj17m1e/B6EdMFQzla8n7jUd8Y+2d0SZVkgz1
2W1N5OmqLdlRbw0dqnFV3FrRkn/qMBq+9Cno7xqkZofWhN2csVgxLzt2ROB/m+5b2rDe6jTmd0RG
52AzmkWCZIysqxsY+hIgUvTCg6PFKaXxtSo10Z0x8tm18k1zo+FTvXYi4eQ6Oek15+sOajQtKLb0
4iGtAXctpmYa2WTLh2xhZ2ZzTSgXXzhcx/NqIcsIdWzyqKl4iT4G4DO8BTDYFKpT5m4TY6qfiCh2
A4Fq0hCZ6dkrj1vMibkSqJJp3jxLXaPwBMlqOTIS+GLHP/UO33KhDvXxnoS8uRDNMCEGs3wGSnd4
7Serp4jv2zfi0LxN2PV6yUwVHbzeiD8Cp+Nd5A/Tg2DtBUZZqQenmk79OW/YdgkpfCHjk3CkUqIY
/kGxLiBAS/He21pYQoS29PdMGgnzxc6kftkJOVn2XSG9LpzW1iuE/KIDN9Qw+lO43HYrQP/U6JPy
zHu8fAtpRr/0DtPRU2lzMXCRWkfXLC5gJ9xn6STOgYK0omnWixUQ+OwBEB1HLIxEQMoO08uvUETl
SuhxePFpPW1ruMIOMnoi32BaaxwadOIzpZseqWxw6oxihwYkycC1M6dGYroP/Gjdd4CaPMGIlkxz
xkQfuYPz+zCWJgGUniCK/ImkJD/xlHzWHow5s2LM6ZV6zrHgfVaHImm6fs02i/zQbO4X6if84v0E
YZyfUIxlQI9dskRB8ZzMTDOnZ6I5RxPNiRrwKvmSiDAxm/8WZff/CkKZyZWfBXdE3mYtoI6/kSxn
sMg//D944REAu+6rHh+/mi5t/13SnP/O/9e/+D++fn6V+1h+/eu/vP/JQCNFTVtHn+0/CrQAYv8z
Wff4Xuf8W5N/knV//qm/SrqO+xdB3cjVPemZlmu6LET/DXBi/0UHXoj/Zug6fBEPkOO/S7ruX2xh
eNx1XH4px7H4S5xL2vBf/8Uw/iIcqt0MyRtgNEjY/Zck3f9N0HVdh/SqBeZE0l/6J0EXk1KjlMJE
pcCfGPPxIv3k23DBWuPBan5764vkuyIN+NfPCj/B/zNbhYjRP/+bpWuYhjBmnCX9DwNe5n+kWAah
sCY5pd1agoH9An2gLzrbRjwcRG8Ee5NCOQdsIC3WAjdrelQNwEJgreHEMllTftvEiaB8jRSwKVS4
7mvhjgV9ZtsseOXwOOdCLFj8AfjsXlF7MMw68lobS/gM7dZWsZ1k7xy0oIVo0Xhkt/MRSnMKthvM
W33hcsc97d+oO5PlyI00W79KvQBkDse8uYuYgxEMBmcmN7BMMol5hsMBPP39kKWukupWlXVt2m6b
aSGZMiVmBODDf875jmV9pAJNmsaUHQw6c90bi6O2KUk2oYL1EWkFQ4pTH3OCssc2fbCQM4fVOA7W
xawMNqgIFJfXGUur0pjCIfbTpwjeAPncaez2o+UW95NTbTGJnlMr7W6zmo8C6oOJC2MUqGxYZ/jN
eoINTOva8EHSxn7uyRJ3606Z0V3iBe3ZKck2m1xIVpI0IFBuyfED8kCK2zaNXhJqLR9cZ+AuMMf1
JqKiztRS3U9VY2/IKcdvvYggIxKnM3a4Wa1qbQ2Gf6eNrv8KR8nhviQVHq2jtA8+8Th1tPFo9sSo
DcQzQ+iOv0W6cDfkR+KHriLaD45rog8vl3TpcvTlqoh2ETMOENDQHaM8Sxth2GLMdBmTwr4TyUzX
n8wm59oYeMOQw8Q56SBIqHosr2NE2gfTCYYQNgmwzq5XlAF3jrDcV7Yaz2SV+h2DS5yDLUbbNOnn
EwmN+rmBd6DWTd0ZmAQtp3oBjQnIHkyGsfIyzbRY+UNQXSNpAY+J7QwSag6wKtwM2ANIxtVBj2FJ
2QdXiKReV7GYX4qcMX3LIDPq+7WcuHDDQ/CnO36dbtgbSvOnY3gOl3YCK9vB6YNrzDwNk+FgROT6
KAwk4mLQxsMxgnasskqHfTSIitGKkNbejlE6gKDVzoszseNt55Qsx8ZFrFtBJWai4rYdVU6VV0/H
sOBOT3jLqW+Vivv3ppQ8SFkj3qgain+GvVd/8MkkDx2HkjsP8hfnsimngRGva/zGVIdZUqKSCJ23
tGzSRgRiXAnwiEh/bNI4m3EERem13+kRZXowp+64ZlaUh2ADU3qSYwvOokyI45MAYzJczdAUGCk2
G23KfqZTs6EYdQ6G8YMOcFy1aaRrtAYzeCeTEb+2HMv9re23FR2heUZVN36/l6EnQgG5wxy3CqsL
k5K+e+aom8uVpDboe5NwYVzVnkFRptm6ztqlXA90iNmYP40uMR/jvi5eaIQL7/E0eG+lyiWtyGCF
jI3UFsWwYRpgtzGHrN6SciseK7ext/A3XEbOTVQXpOjdjJO9hXpPoteH/+q2OT5DdyTeFsUEf7ax
kAzH44EeIDh2Jmd26pQmbx6GfZzF7QNO7AYYaSTy08zU31zRFsYqgpEZBxUlGMbdVE8UdZgZJ19M
/EGyEoK4ztrl+vEhBAyZjYvZ+zA3jKeYjGKwZiWU3lGVCX8edAnEs5po+dUo8vgqe49YYEs+hbQv
Ic77hBLRF75SSiM5B4KB9DndhrbbPkbYcjc2F60tSOPinrlkyimpw8JWu2PzZnWgKlnMxMTl13bf
Wcz5RikzxDbQeSYtwRDsDfrfhyhl8IU0R2ORDx1hxUuOta0f+UkNHOPYmxAG+QkDgxBDybIwhKGD
JgM786J7V7/kxGvQ7GlHXPgjAe0sQgbyG0mtAWiDcuBbCiaiFEBMIr1NA6muXA3rZ38aqbfpwsHz
t6Eu7TdNB9BnE81Ejot4Ae8ngp7FNTBb/KB0/s0OHtR2io6c3Aiwe2T3LqRwRHytBFLTFko68yGu
PvG+y60+uJkMYvncijA23KJSJrR0NKnxXWPXC9dA7NtuW8qSuVVJs8pKdx79YDhSqMmC81qt8Jca
9poHB6RFU2U0wdgEETPy8TRT0gs4OSt3cjp+ielQrzO2vjq3HSF3v2emFqSLFUv64S1PUvvuDYZ5
i+XNe6ECobgZaDgC2ytYiEXnLpAlrnpIPmp6LXyTRS/yE32x+8wvt0XGSo2RDwfFlMUNxmPH9j4r
omuPYwYeI7EFsAkNxJ02YeW1X5Ma4nuylRhiYUz2W67y+uIX2qRltR7WXDaK17KKltplHyBtilEd
21O+wF7L+QRwkIIZ0E4nj1dvy8wLJkGfXpSO4Qx5gkvfjNT8AydjfrFD1WkmeCEZY4paPUq9a8cT
hxCKERKW8sPvIpq8ZqXcPpvOlYuQiaNliF9R2ARftJ8nKbPAEdNGTWwHW2Y8vVmz5T6x/NbXsQXn
Golx+gZJxjy7MgLl4Ocy/1YokpcrrE0eWEjhYuoZUg8yDLhDsL8dMSJeQ0O071o5/dX2jOESjqG8
Cq+j2HnSxtpHOybeoawP7q8hRVfCJehY5XtJEUyNzYSc+KqlQflzToaoXsPvhgwJRgHwLF+avE/s
Rj1WlamOihRcfiZX6n1zVBx/zVkI0MiMG1pCTCr7+ODSeEGA9uMoYU+MNn3PVRT6bxMlpd/ZXZJ7
cP3xyLJVQ5gmgs+NcVP1tYErqOky706EbPlrG3bteMzx0aZrwyJC3+Gb2oxoxrwEjCiZ34KMkEF4
qYbqla5RGknacNzEqVmtk6Kb4h0HAzw2qjc8HLux7dICARV3vag87roI7ZSp4kizd8EnYRbhhIW9
Nsi9F9L/aGRvncrY9R20bxSMNYGl7tAYhntWtvmNUGHznI2W/cOH4pofPMFjtg1kR3O5KTkkUKPn
9V84mihGbZQ3qK2dOP4DDI8o3Cm0oIkOpohuyXhUKW+npfCBaW21PDRDoZDTfGCxK59K3eqE899+
1XjKzQUyUXIQym02fcG21+YC8BMNM2yXbPDmF1IFlQhmlkdvSVtiieWSN96higLOE1MxkB2BwbKi
0dK0zihQ003SJMaPMGnVEo3DBQ2n2xfr2sn6d2yhONcxbxrvEfk9d211U/p91BarQCC5XkMIMczH
0q9plY6GmrOJbc76WWdQOtck0azuOIUWwiWPAKNwnPdTdDtZwnoQZT77O5x2Ol8lcw4nncxmc+xd
6X0WoSQ7YDM6D7IcgA2jLKs33Z0De+1Vj3JphcauuWrD2FwhSVarQUBNgtjkM08B4YYR2zQ+JjOq
vwk8jr2Dw8s25CoNmLtHvQ+ADVghbPPEWqm55n9WR/JOpSArIncxdFroB4YzbYpkRJEIHDS+CZH4
Pq0NY4vyCU+ga3Nk7dBmyx3C6wRRgQQobsad3xYfwSzNV55E64s8brptB4a9BFu84Oqptj2n8aih
nKS59zCbU1JtRR/Ej8ZkFrdSaT4/XooXrNQsV7lF/HDvk5x7DW2/e+raHld6wghrYl4adeBnplp9
0RSjPuyYzqQVueC4WFfopyBWud18WX6H/XSGF/Rk1xP236qTNnVDDGYTacTpOpI8hfQC6jLeIO/r
r8TAzVXPTfGoZxYV9JSwVhtqZiiSg+HCmD/scdUclG2NPqPmcbohygJcqckLYOkTO63I4piuRpse
FLaxsskvBaf5YpMxCxBHp81bfHhu8lhnjfFQoSFuoa5FK1TB2Sc02wJIl75eV0HKnNBplBarvHQp
3s5DzKcjSQgi8rEbPFWgwCyo2RMnQTbKJVnZDjnCntnAYY+oAYQLWcOd3hj2xEfr2dWziW+cOJBA
AFUMe07jPBIS7Lsy6LB7dPnrhMLfUbyu4p+ZF2EzbLyQU1FpFBwRTVdQ/hRpWb0IZeVPuhP+p6T3
+qCnaayPKuEdhV3GNQ+PRPo9tauIpgIDFrbGVGeuLKPMAxRcYZ6CaOB4GJTBRH09IqS1wVdnszjQ
4UCpHDGh+9YnF7KGgEMzZZvQzOoqg2tOZ7cg1L2kIajnoxrvptYWuBJai5rA/GeJF8lDY/Jx5LXA
fRjfFAYOEceNTKQ17VyqfuAIGfc68G+Swhco/BRRLhaD7NhDpLt29K2QXoDjy/focM3DJkjngbTF
UfsRkVCjSj9dXDAtFpDEPHFLdhDAy5Ppz2KlG3y2Us6XMc4oOSdsyZDIJcit4SXaSKyVAabOjGAR
SXh6vAB3CYgaGlT7mp55QJCVx/GjrQamaJPXZ1s1zVwsZqrCY5Ur/J1awJ9pk33ZmOW9tvviWkwt
aUKTUyNO26ldlNzJzs8VsvXWmLiLwNjncDGm7p1FQHJH9xE2sMokyaW3UZdpEtqteBElY0sWWOAx
Bd6Wko7ldZ9I92FwfX8b1Om0c8rxDlTRqDfSUe6hIhd0pBERVJCmhxyFBCrAJgBTfTIxDa+qlrAU
Hom8vMTIBzfzQJ/uGtY5ndws3j/9zts3dC5/1VOcEeKiY6YfyuAbUCr/xqOP7Y0JHH4nNtA101Qu
ZzlqRW8rpNQ6CSkA5r+YGdcZl5QH7YEgNFsyVvKC3OFBNiFymg4myiALwDLkHhVqglEfPDcenmuv
yd5D8l/oMGIyvgblld27lXEN4gCQDHJXhsjm+zbNtM9KKsdNDxdUHBNV55+G2bdwE2NOlkOMNghw
yRScBuoJKghMExyhqR/cB/SYpDvTB2moHE3uPhY1vV2K6kg0TZOTAiFI9szarxNnZdU+C5WvwQFt
OCN1N/WvZafnR/vWuzYVaaPCYUfezOChGIRcSFUF14QdSJRyXMuqo9Cu9hRlllZpuu+9p82fhLEl
eV8ZZPApOj84BkMwBoeioXlxTeE8h2ht5e5PP6InK2GSc2JMry9TSkHPWqBq4m020drbAjYOAIAm
uWcsUB16ZVkPdi+GYhv5giUx9OnejGiHnpAv8busUDonZ59QjYRpCEIlGsogxVm1NR2PPfCfVe/H
7bSrjJGw5DT7/f5/dvT5x8nn//nfZH391bhjM9L81407m+/F9/Iv38vPv+Ar/tNw9W+/+fdJKe06
jAQFND8H8DP3rL9NSsVvPvQDH2nZZuLH1PRvk1IpfuPfeJju3WWI6Af8LL9PSvlXFgM6XKwYX01H
MkT9r0nxf4MGHSwDyb/3MPAzsT/Y0jX5C3UZv/+fB5Y1xixtl6YNVDn5Up578VpnX7NHpmjDODXM
LV20LONG+AQQ6L6e3W/AV/YqeI+1yrm1R6cwnl8y5e55B3cmZ530zEHrptdASr18C8DwNtbipWH6
ky2FB7OzT4l4imXiFBJnrU/ASfBS7VzN723KM8OOg93kx8y17skGXJjz7nUDois0L2QLpRv9GKN4
N9XBlpqPR9+oH+cx3IYureUxwKSCbb//MeePE3nVtJj3zgisxcZOUvtHFRVnsjuX0h5fassmdlle
XeZZCJsA/mlHaXsAhuHTPOGF8UP7CZXj0Or0jsM/5Ic4oIDMaQ9ziCUDu+d9H3kHiyr4deIM730b
PAm/fUttPrJI2HsrdI9M/bZIqR8GZYZNXZxtUph/ePJ+/1L/wj56rZKy75Zh+T/7Ej3hgRTnOQNN
++cvcSpaiUXVsLdA2DYR5zn00zMujDtnmu68FshSDL4N8W1rEMnEQL/+9z+AjXrw56coEK7wXIbe
rmcLa4Ga/3HsjUDNBiUTwNlMMTFfnH3VAtjg8jFMjrPNYonln8ZhFc6AM+aXgSbIs2M6xrEgvbLy
Vj9JgLXwoOgTGLgqw9aBdAfM8Tzm7UE1GaYAn4of0Wfwojqxth3AD/tSQ4chKdex6udbbQW4jnNO
sxWV22FgnRpG1+S2YWioTkItDUlGj/O9AusMicrEsWO+Wo08UYh7C5/qVDYxSlRTR6f/fCH9lwLR
n1bJf/mr/n+UkX6tdPR+/Ztl8vI9+k5E4PP/XSGX3/fXFTJwfpPSoYHMFp6UPEKsUX/VkgLrN8uS
ro3EJJjrCYsH/3ctSbq/BdLBrx+4HB5ZBXnm/2uFdH5DZHIDH9XcRVWS3n+yQiIO//nh9lGxLMt3
/UAGvs+i/A9LJMABKaiAKY7o3QDhve+Rl6A/J21xie0pJK7HlIFj/nNV4+F1MkXIXoy4UGzHI6bO
dWvs/H2KDRlXEadFmBxI+/5zZMOKy9uAtUItwyHmV2ud2QM2WIeRlcQQpmuVP5JPhBgQtO3Bj+1v
6UA3VufeTt2M9QTMUYyWy8EvvMdPz4yqgLGTwZe30vB5xHcOSAS/tQctp7Am9zuH7nw/ZAEFJxI0
mx/Mt7TgEKnSPRfHfEqxwXQHKGl6p+nPRcn1d7PtU2meMyve0Fiekr+F5R21VF8G+h7qxYFv8FMz
ddQsb8sgYurkQ1I4JyiiETMnagkr+eWY5LyNOEzJQ2f+vJdx+5jw2d5VSVHthtmoocwnzyPnQNfQ
Z/wC7gZDj3UGn9ytE+aZdtnvSVBxp6qbW8sBl+uLqtgnHH8QhuZLiH+c1aRrqCaJG3VjU6J5mYz+
xeVanjdqyxUPHxVoG7TAr55x0SZwOV9a5maEM1xicKRwGghWITctPkggQ/WKNEa0YXQAoHBhXTsD
Z/5ufFZcp48W0A4AH0Qms2rLlZqPxmuiQ1FF8WNZtA+xRROWMxEq5/ayG0fa4RZc9Z3DFW/1q1gK
ca5m2koNtN8zvMgRVI8ymCfO3NUDp2kgcaZlK4SGeHoUOTIX8PkeMy73srvRvQ0K59kSab9HuiD3
2hqgMwb6nwT1Yum4odTkNcqnS56S3u/VaOOubumR7I4GZV2YPl41TnlQPtvJmRhPqu7SgssGxSya
HP8fOw7lsTVt68VEMYu5hRmF1AOpoAmgdFCNTchTNpdpEGeIa5jVPCZLPv7cZjqOnXgOixegWYhI
cWFsECD5f6fHhgLPNq/Fs0xaBpYTE3xQ0ZKrVYwztfC1uW/g75WO+d0OjeQ0m8FXnga3Fn5JWxQ4
+Zqr1VPuCRW5yuRDO8fmt6EV/J6kSrY2FrzHwC25gYSQf5EMHTKZrXE3ky284qzu6a83Y3JsvvNR
M6Y89W2W9Otuctxr3lj1jRV20wnctv/daZt4HSgS4IYZ+FiZW3XM0zB/Ta2I3l9fdck5lhCF4xQ/
6cTR6KlbFC4e1e5oMXX8RqSuWk+NrhDKrOHoeWX+nk2h9zjbybwGJsfWVpfuCQtYcKqDxN2Zrta7
3kQuVgbANCIfxdNMhObJrwt1k4q6eC6oSYDUx/CfOCbmnx6hYNMg1lxsHQCWcez6nA2+vjdVaV24
KambXrTmNyzzautF1cgoN3BPDUSiYxuD8gNFGeMzHekD7bgQf9ZYNLiBDnzqs9L4kutAn3E599wD
fZO29GEQV98fxQPBg+ZihtI8F1kVP098WbdN4LRnHhXvDCFbnLnuYE6pW3ZcsMfeHktVfgn4A27i
pdOPZDX1fn/YZf7Jkcj6dXD9+8EWj0sQSNsi1eJScxIwmfzzkYSiBQKe3UytHVnzS20zFICdPHSX
hjqsDZ0WTKtMrbFD0w1v6mze6MEvts5oUHbXq2d36IwdwFLAJV7ascJ2ZrVxwDfu3JiRD6GN6Fsf
Kvr4EoJiV7cU6amn8YqxCQXZSwlWvXAo7NDPbyfAEyuepGcnJOLc2oFz6MYBTx3U8FU8OU9tG2Md
V7q4c1Xkp6hBKnyqtZbGPsBBPq/BNOL4xVHJ+F7qOKjXLgrpHsNfCJglwTe7F0UUp1swahVW0xjY
EvJVtYUhXD4DSPa/dQQyuryfd4b0H5S3FMzSYDBZ7qYuJ2fd9B5mEpG7pBcoVaJh+jAVNIspZT3U
Y78Ebx/D1vOpYRHoxqNDs3pCqSShWCDJjIBhXsxrD5IQo/3i1EGsPYVtdfYSXv8kgcgNcnynkfYo
RGqnbeEUWBqWLrR4cDRNzZoqzYhIb+kRH62WeWATUEHsESd54NoRbWrO7heyUd4+AKVLxbHHUzVz
MD1rZJUzXKnunDBDuVXQY56h28hzlLjNJXMC8VAxgbsScSdHBBOiP/Fdj+eydpNbxs7BLaEPnnef
Fq9PAHaDzXTKin8WeVWuRySCXbu8KdPyzvjL2yOX90gtb1Te+eomDkfrkhnleF83SXO2Rcn+HJM8
rTVbJeOh7nsz0Tq6UoHd7bLlDcZ1qm6WYNxTSK/I07C86XhnKDkYLL1rlnUgWVaECZb0qbarbM3Q
b3kOGv/RX9aQZFlNSAZU9KOwwtjLWuMsq06/rD+gKqInikbaAxMbccx8qq1LgGuwo/q2AAs8q2NK
hcCx7knK5L0CDwPZ63uaywm4u1HfoIl615i2tX4d8KtPHEDcD9eDbMwkrN8N5JOv/GrjTlFXQNfc
ZG+TxCVOPCmslqR2Wn/Ej0eIa5sxx+l2y2CecJPjLbnnJBxTbkOjiz7MwHM6FHZcDJfSS5nkOg1O
4xlX+LzBouEEB1MDbrwp5y6qX2XgAVuTToZzFFU/6w+IdRALIaRHgGa6BKlQ9T7qiYVTVPPaJQHc
v8ignYD65Sna4LBpom0xO8z8R8dBCmttymJ4DdJq7zc9nBVjkLd+NDr3o+GZuzwAtk6Zq/nQza0D
bnAOC7EnyJgDgW5NRs4hfNBVldXhD2twG43Mn1Mj2nqAQbaqQAxBf5vxvXssm2+0BiYUl8MwXqBI
aRrwiCHtn1urlw9Z3/C5lM29F4LJmNNUb/H6QJaT5aFzfLFLvf65H6DoWVgEQ0FGIqhvSZBBpu4N
lNsEaB8ZynAtFuXSDLkh1fATUKxq+t9tj5DFkL7XWaB3Uwq7ubSatd9a6CaTvIai0Qx5eUfdrv2R
eD/yxkAqBsXJejPJDb5dfSbCYUNDE3svru7twHxIESnoovavRELCQ4wRgj4CXLyqsb1T747ugVA2
8ZPEugl9JveZWjzeaEkG+/8WhPQH9nW03sjAQDFhpmxjfWU7f57NOvlybB3D+poRCfJqPqUZ3uhR
V/0LJqxpk5rN9BVUJs+giioor4gdSzMg7Knor+6u3w15v28qf63S+qNh70/3s6eq4K9fJr6//Zpf
45e//9O/vML96T/0v2kcxo2eaq5/PQsjTfL9I/6e/9NWtL/+5t9nYcFvQviO5eFxsH2sFX+fhTm/
4RREoaBO2jY9XIV/u+lZ1m/SceCBeKwukgvi34PgFrMwCKlL5MdcLnr/WRCc2+Gfb3rL/dMMTIZ0
8EItUy4TwD+OMaSXgzPHoLDn5Mhm6HW0iXUBzuHamJoPu7fabSri4EUTNdlzSQF0aof9hk2P8Kzb
yE8B9eCQDeimFHzcqSIo9lQVp++AwKFyzm4NVKnPmo+mx94ddA01mHqKLuBaxwc/iI1dxVGTI3+C
ro4oOe3HuPMesFMnGj9ObX+EMFdtLGhuvBuMYjcF6hbqdg7KCjet0m5PuCQCrEvTxWQS90nqgBoj
KPKsAeoNhHTwmRmushgITeG+NUK1Y9Rt+fR55uNnlNjhOwVF6mbuUrlx3JGLBWUNBy7iE43Ogq7Q
sVEbQhvACxP/DsuR3k6gxg+4x0z4bzi7GdXRWa26+arplNwG6YjiWljuBPmw5PI3M89+HuDe/0RF
dm97YVg3ja+eGOsEr9jW/avlNfayU9DfKOl2JZOaAO1iqNci8YUxmTfitvjKfKSzdV/J7K3DL39j
+WN/U2byow0LeoeyJDknMVjnxPO7x5wUDyidDt5iOAvMMpmX/MCMZrzKMPJPTUI4JYJ386MeByDm
IxbSrwFd6baY/OGtSmVxyxfOn9Pph1XYgNBzhH2hxpqSL2KEHPErdoNQ+F+jndFf4sawWPNhKG6a
rCa8l1sfutBEjOecgByZqmWBdm0+KKN8xPGe7nJwc1QTKPEGqharu5s3hwBGI+eezLy14rg71DLB
eUaxJSAOrtv0iDmrYXC4pkfaSk+OEb74LXUKTgI0GuwO57QOa1XPxefbONXZQUm6XOGPFEsZWOqt
Wz/WqAo9p1NJmMwLu60Gp72R2m05ocU/JR8JZriydi4mcdqjIhvMly6oNxXFWVdz8OlgP38ecbcq
hJDiZRplfuPHlL9o6prwfI5Bc/YHQ60x4cj7rrFECdHHAIxe2ezkdqvqzw48TGBTb2SqqN6pOpWX
2aISItXueInHXDETkDy1mJ7y59wj3cxlcjnKFnxmQUqgwUCIfJ+duDoZvl8/LPeME7QmfzfpRWsc
08/GXpoqunZfT573ktWcxDOypKuWEbbTThy6nYzDTZiUzyb9fhdyHbA/HWNAgwuBvK0a7ngX6GvR
1ZpNewO4gK12MmeQZaVuxb6zuAA7oZjWCp7ampFL+eFzOAvWgWM0Bzrk7B3wNR/0bHadVfXRmSOV
ESFmFYEkKHpjydhz3wOo7jfItQy5nuLG2ERmKY+cTtxsLWPyfn9Yq//ZVekfp8fL1E3YrNP4lhem
xj+4pSlO8gDdsBwkLar+aiBpyK2esq2Yx7GsGcESbtQFDW1d+ZaDmoyXAtP2Ys8mXggKWrhAz4P+
wtVDkys91KdgWMqGMApk5yqyyreqyVtiXDqxtoSryaT0Pdv7Cs0qewh+vc/Zr3fbgp9JXpj3wj0S
X7VutMNpcq0H0shbZRvZ+7//o1MY9g8rvmkx72PnsYCQuGw+/7DiMxyyCeZEYm860WOQY3IpMuvR
8Md3sTA/Tc4qa4eKwrPXKorpcKdompnGmqehrQH4YnptTS5ZMYZCpGZalKWjN22aDz8zS0VPcTFO
R6/RBxubd2PNDTKjat/9rifC3BKQLsFC5dJfZ1ny0TQjBuXZLK4jbPujKQLS/FOubgJilzcSQBE0
oGwAwtlm1rEcWstdi0z0oMgzuQ413UODS6TICcbiqjwdvFd+Vr4znCFs6QKzkIWlLk40NZccg8Iu
1maxr3rtvVVGGx7dwsKUUiTDA/9IvHZWyVtqEoZHNWdSFvT+di5cZ69VPe8rV1tnCWv0GGEfhWJB
InIX9TJ6nHIj5aw2R8TWu1ivLUxJdJgH5h4HgbvL2GS3OZ3APXuQSrZtF7YvvaRKMgJJ9YJZHP9g
XtpfCGbRJumz7ASnDApD7aSn2smXg14nnRejd+Qd3hzj0eq0BB0YROwtDAR/0uE1vrhG5b44XlVe
6WJsrwSJhxtBVfbBMu34HDYC8sFgHwsowv0QLxm1tocg1409jhxzvJda6/tRF9ll0KUi0IOJFOAj
UH9cMzQvTE37qGQerJGRqz3di/KHXVsh1hK7IsudP8d9SglbPzsgVPpuLt4LUevb2ZLgz/Hj0BPT
jacy8l36qzNr57t5cvYc2i+5NvjWrjVTXO9RQfZNtEN99kjZ3HWGru9dT3vNfjSjCfWa3mrHtiCb
tFoBsJyzK07E6tYd534TQ4laFRHzrNH1QG0vq0jehBxXgNC4gCCr8g7Mw2OOV7jRebE3oul27Fxj
D1tVY28gMj6xVHXLmhW5rF7hso5ZkRkDhzKML39Z4bjBgGNqaRHVrVzZkKNI0ucknH8tjOrXIslK
YdNkwMrZLmuo3zIyW+WJnFkIYlxfcllvya+Vz+OyBrfSHm9KXbHmMlyc3vBSYJ7SEyu6WTUPxH+q
0yxM9e5oEqDVgkPJjFbuSDSyMaTLHuEtu4WZm4za4V6NlybKEuPgyblM1v2vLUgENTaXwJh6vcnM
xnuaROXcdXVuhxvIx8Fn0sYWE/bKzJw9bp32xmAcvOuWfVJh6t2kv3bQso78H7pOHbYKnmmLfSqp
TyDScIPVdJccqjDT+xCwebJpf23ps+j4YjG64T50koHao8aDmtzxFeGs4NQwLQcI8oJf83Kk8H8d
LjJXU8CgPGcTL+cOwfExDGIYFMUSHAhzLCb0FYynIjepQQqM8RiSnViB4iv2NUefDfOO9JgqRfCb
PCUwgiGw1+VYKSzceZbdOrJLj1Zf9bdpVMjXGMbJpefC+VBOSHGrtou7HRP74Gcz1/I65tr5GHI1
XJNuSp4N6oQfQ6zs3SYSyjv2EbWo4JENrp2QRe5cM9A4Bek4ubiGpQ6IztktZ7oJYzHiNAlwBCKM
ODXgDSyel55cNEgW7bU/xnZ4E25NWaxvTIuNVjg7EI3m3h+H+MmL+IOn3BqOrVFjO49Td1hyKDgQ
687Bn5vZxtWZK6KQIJgfi7Ryr2PgO2v0Fp4Pai2fanBoIAqw2RwtI6F0iNAA2et4YAwXmbXiKjmS
X2FGG21d6l0o/knED5Is6sOqSqz0/ZwlGKl50XZaz9TXuG6EpzeiJecV8xt5/5RPfJ0D4rvx3Do7
6dY3bgKgRAcKVCAfeAbKkJ0A9Knx69wnkSG+maN/naN+fLJyeHdjZeBKYtJ2A7kQ/LW2ffc+nmT2
nlqkJ2aCWNjZ2qL/ETnUfdSq77bCs/NtUGXhnl/yQyRtuOUncrY9DJaTrAMefsPrc7ZykdwbzQIM
tXJcJzDhww4/nmtfl0LXMEvJ1ZHqADeMsprOP4U0EJr6Co4Aa6IFzkSk1c5P+ga3vRRvVZfZN8PU
KYqOE/IGGLa3OgGXX6UEVj0ZA2DUC8aZ4Na4ZTxDX27g3gTC/ip08IMgrbVnA8u5IIVVecSP4PO2
0126KtMmegAPPu1ZeThYh5l4SWkPoUireDHtWr7ZjakOg8rrV+046WuIz+wnExU6zgxUraGf38tA
vFhQNwBGo8gdHbu6la6+SwOwIeOvVA71LVvQ0DO2tjwGyiIGvNRrFdCSfGpruz76bs++G1JQGli5
dZj7Ot2a8HS/JQbPKQkvecKqqTZ17IYfsk3sfeT6qab/ZjnWzyW+ST0yKx1j+5NcS7gP7MbYubRy
ntEUk1M9yWg6qdKoHqAbyqeY+8u4Tqqx/0mgg+OilXX+uWxKVpshstJHsLUUg80aWGzK3H7n0cO0
byvL4WhcBwNvIjiqDXkql/8q3VR5woAz9Or2RiYlhXJ+x5+d0MtRKz89Ea3ol7aDGqtnauRbm+vI
XeZ28aFkoLWlvKnb1yGRVYlLF6JhhtLDLB6SKf9/NH/vreAkmBDJmgIC6yW+N1BQO8tU3jtjaXMv
B5K8DIIyRUxk4q1tJ+FyDY1TXKNVB2m1+xYQH5898bXEHbeDGZrf+8Hw7oIGCIJXP+H5pntFErh8
kLTIFnuqdObPFGv8yor9l6IvOVQr9vZZliaD/XZJaTUEZGOLQfnS1gjrXryAFKWqDNpgTJXU0LIk
USgS2bK+r72wYFAtULn+L3vntSO7km3XX9EHiI1gMBgkX9Obsll+vxBVp3YFvfdfr5G7W41W48pc
QC8C9HZwgO2yksEVa845JkxJv3tmPbE866pHrksFfnwb7Ad+VfgMJf/mhwwACPENUkzWH9CbwiuD
bkK+lpShX+wDL7CeXF7VD45djD8q/QrZbhYjG1BMnUuk6TqZgbGRoaZWorjNKcIgBEwVZ0uGnFrl
ZE8AruYUIRnjYmTf5O43NZpZAn6OUO3KmgH/juggm2oIb7oxQQ4dqZuQ4A9F/+6nv8rlMkfIsaqz
oQDI5CdxzV2a5gXu40o8em5Yf/D94uWl5+5+XOAtZFFRvYthGCFjZWwhwBJbMNx5ouG9tOOLBoj1
EQr4DzrRhFFEq46tJZITb4LoRpNHWvuY61dw1uhds1qGisQAxUOwDrz4Gh3so0cgF/pCQ9x87XBf
CNqY/NgsiKFImorSrtTN6K6Cb8r71JveAY3qdVWAJl2XAgSZUW5OO+JcbxVEaCzLwfQkCcjsXauk
mpNw126i7eegSpeLbMQkSyp/3g6xPR2YIQVu1dJHsmkcET64UE+OKILTzmS92qb0PL0gW8V7agZc
skc96CnVBAeTZZG3KmOMuTgKKY10kYxrky/boeqS9xrXiyHOYMy6iHPqnjlEV6w4lx05uomIR1Tv
sXi+QDyqTqlq+30aIrI2KfR6Ktu48yutnoOmaLdLX5WnhDMD2PJMRZkbl55cd5k1kkdoU57AtBAc
2AtxLFxUPFn8Vcp1F+T8iqED4TCHhfM6F1CkLHXtQjKFc4CMUu1DJycC1mmIcH2cHwpJnKCD9roi
4AZwLik5zcYRuptJqfDr0/As7RBGDKpWEURfLouZJBVHOP4rOwrPTR5CgSHgsO1Lgpc5iP3Ig3yB
zj2f2PAhXzXBhXv5mvTDyGebT2RqrDC/ja4NNvmIhMmeYNnGk0tprIw97uZ+mp0j3/X4CEL7ODal
/b30A55cIEY/EQSilR79+Og7s7W+WgOgBYRdeSrofviWWZl+gH5pUKtTGV6gIga3EMCzB+4q3Zlw
RX8Us2az5OrWeU0shWXaxDDpEIOI6mQEb69WdwTw5FCBSTkIJ872amjqm8Ip2kMbQ5gldg4N3YM/
q4IFRHhi73nCnJeO69oDMj3FuYPXbOOc3UcUiJVNInXVJem5lC5EocPs83n22Hbbul8ndeRfZDEE
6PRe8qoJbRzrNMtQ0dCZWEO6lE5T2ODosf/7dpul83+cXZb/0VXYVX+i2SKQIvD/x+XnmBQyBLnl
78E1tFtXXT2rZqCHonZhHkLw4f7r0O/ybHRBcqRBQSg3UVRZMNHT+UvTINngsHCj7Rwn5AXNdV/J
TocuuD4QPYWN0aKQ9/5sOIXuyT74EwvCudSYyd1SQYThhmj93Zv2f3tr///QPh6fpvxfmq5uP6PP
5rONuubzX31X//h1f1/F++JvAVFDgU8K1Uh4/xLgl3/TQG7Yhbg++Xnycf9cxUv5NyH5H3hGpRNc
Nyb/NF3Z7t/YwQNl1Q57eMfGg/ifsKWyc/93Y6pGDVDI9lfrlcAge93V//V5iQtzdUD+V9nPrHOl
NW3nrpIDZbCAsqah1R20ffVj0i7AX8+Nz9lQe7M0K/9PKsL+E5CwKEKEd58AzCpat3zPZxUEdwPG
d6BKBVZAp2YZRCKGe8GEo4SZ4hrVyP7ENkIryapHt4njN0vBsn8SsxrLx1oWWbuJyV8TclQFq76m
0KHcKNptmk0SVXCfukWnnGkDIaFVkEsU5b8nnmaSxh6UvcI8FJ2xf+ykpKJq0pKMadoHPOIEWmQa
WRL+zzLkG+rjlUvG067T+7GpxhvsOKRk3Gtgxi6a8dR1uNY2jVsO4V34J2NDF65IL0TL3pNhme39
aAkGzdoDm7IeQ40zMo7gRC4TkJIbNTiAp4s/qR+ObNNsiEzQNwbPncCPb+V6hw+I0NAsmflYwCVx
ct86gtw3YegXXYN0tIQzmx37+iE78NIe01MzVddFraEvYHV1+1WruWVaXE3XGJTs7BRnu1A9KSny
Ut01OcVUL+891L8bm1X0I0uN6qMlhuU2HeJsO6VlTyFI7m51MLbdquw1wBaVxW/8bgAOBtM8sJPw
y6ObVYTCYAQSECNqoy4p/aOGoqJrhEzzLg9WpOOJlhXzYk07AEbkzkL82sut6rzGOhmPrOFajBxR
ByBByRsS+djvexrY0BIaCEmQ0GKEHX/kqlrQWUO/pM/2/8YXHen2Ici4iJcD8ElC8UTtuNymAbXK
zIhnMnMYJHztgDiBy1sc5OR33YZebglafKERgiXUNd/XOlEc7uY0HTJeTVyQtyjwVJNEXqVZrphq
em7p1YT2e80RVtdEYU516lqbpvkGVs5CmW8diAnxJ5s4NESuNq6NOB01oj+arGXVXy/e0qyF5Q85
01aoT0kinK8qsPvpENk9JphoMi2x3gBqARsgU56csWPSjasmvYE2Ej02sffAZKZf2rbnBdiFtXU0
vR2d/HGE8wB4tXrzi8S+kIZqfy0Qkc6U4R0GVDEgxfzREi/JQCKwhLQrn1k8E1S1RUqIsxfV/BQX
zvKdR/lyO7iiGdcZI4V9T50EN9IJy9e4lcVSUXQlTH4bYE3oDhMeiXojkiH/6Khguw9QqOsNFY8Q
v+jgpkmXplL1TKUKLWpC5ujzPr2VHfUgVIGprojcTWVmplKy6nRL9w5nArWwubptKrsnoR2VM+Da
hGqYLijpUvdm3HnaNtayJrgi/U1ZkxtD9wxfrSUL94s3wLaYyuKb2blfZU0U7wyknbdgIGxXt2zZ
9jSw5LQVGJ6bKmi7e2AHNHWqvDwXIhueW9qe2ZQx+DGAB9MpVtwgiMATSFKBkxz6oWSwxtKZrxIx
yPwAula9wNdpzy2Fb7/cVEbBduk6qsfTKUb8x9YycOPEkLYjPhp9TZVVz7Rb+twrrjs1vh5Z/Rxr
4RwJsKh4Rf8r2jyQBwcvE9jU78qNqGpqFi7FhCeXV2AdxV81xLVgN2TOZPb4yXwSsoTgyGRRW8QF
cryL6tI6hkqSlcWWlI1PtJ9CF4zIiKlNRLqFntcgr8mZAeo/DbrK+v00I9LiIRFVskkdhfyxALYT
a5er3NuQzN49oZhyzVXC+mWb0Cte/ITrB/1wPCirgGT4Bhyre2Uq8k77K7dmh63j4uzdZuTrGb0t
sSW+uh4oF+CkhLht2uyCPqpZnRLD5QjH8VoCD8BvbtBQQXeQ78ZjGnDsp6Y71fMcFM/l1BMkYP/A
9K/q8EIXNwgG+piuJesjNeAYGdFvM5Ukj6IPPbXqhSS943uuss5qkcmnHsJyOGAu69Nb5YTL2jcc
OWu27xhM4Y9pGJ9N/xDGtLWSlCuyzWAmzFktPbzlxnavPtHALcBKg5EYX4IZ3hTnlU01WssnH29h
ROnHbKotuYaPkddApgvGez1fY0SSi9clrqFSrzkbCKuTy+I6B9tbyGPsAzTho4j1tuA0C7j5xtP5
WvLIzl0tFrQGnIrTVFaYXJgP2mshSBPuutoNDtxb42+NAvhW9E35aA0d1bxTHS9/sZjLGuJ6rsT8
yYKs3PBHdFji+mQ52oVKU+wu18001rF6Xud6kfh3/OuHUFC7K8Y0T6hBWmYGhMZxPn16XlhSUeb6
PJNmvS3ZtiMxplMKii/laKU1hEzxQInbHQUk8cXxo+F1xNJ1SmcTODtYz8slyYXPygpb53CbXm24
w8LmdzMmRFCRjIkVHyaiKr+9UWFZYhPOJTtikC2RhimKhevIGo2GrpKbjOej4+PAvldkweaD6tnF
PMzE+4cVPVMRlXRN8IEz2X1MpHUGGRtPK6/LkS6DK9t46aJNSAaRNkphNqEZrEMSk04l3v2VVFDP
44ozUwrugL9cKoIyIrmL/9bFvfMDyIBedDWVn5Ao7GgNXyc9imlM8RzwAhCxSZ5miJO4D/oEymKT
U0E0yfhCSYJ3Yhku5H5wrjkSo6MNe26CprYx8boOr4jbBVTJStURBXc1Fac0hi8nq14wneO50xeV
AYL4FdmdudFDOq51SSkGNSz91YlEzB0TPMihjL/0PjEli2GQSrTTRmY8WxHU3rUAJIvPPp69ayrJ
uxtqq2HbrMy3GnX0gWD4jJuLqLtMqFDBVAVUPJ4qKt8jfSX1et61hpyziNims8jhiBtXf9Vg19D5
CjxrJ6rQjrYiXUc7lv+oJMs+N43t5wwuxC/XZu135yT18KOx2o3MBlxW73UXAd+IktEiVS4XtNgZ
Qy74DoQKspzp9GWkwQevinh4LYF2gOMr7fK7dh3RPI6hpClEQpwGn5cTBr7Bg8zHaEzQU/Q2hNU3
9WRDzXgjo+EYcvPTvJ1TSZbeLvOAK60zPNWQ9SntTS1S1kHLWrvEQbdcQI1eUPrT8oRfebh2u4zz
4+w5sCqcJbol5B/TRDeTm4mmpts3Ea+sLutyQrOKmkdIbSGPCYN49xAvTXTMfeOfioQ28ZCGm3vE
Y2wC4GbLLYiGHq4BsMlAZIZ3OTPId6Oc6cUtvGiL6CiR0gjocvD6r5aFh4VdsvC7o19kuviciy6o
9hy0wTO3RPafA37rlVENLb34YV578jvrBAKFfXLSObtpZell66w29hsatv2qmdXu2s41+yAbDInt
vNH5Hh2MZbeQtLRhc6hqNqTcPXlBZhteWT51WlD537qw/ZRNHULQHLJsgeyUVj9kyes3auwr2NxB
5AGSC3sGDiuei9faoOCONNpVzG4+3bjMi09jnU2uzze5lu/LSJYgqJds/KtTtFcrS3EaY4idmMk/
7WlBq5yjp4Q90tECkKvYCblOcKpBlumDWOxhuUlBYMy7PCv65I79oyM3wWhRC2cp2EAHWbV0cPNf
uceZ5w2ogXbhm10M9h5FvXYmCoVYT7YUJKNqSCOfYmov441UvMqjOa0uWMXNhe/+clgGEANkPnjN
b4ql7x9iSjrXNGlVZwHgcSfJAtLUon4rrckyV9dceNT4CQUICXCMt7ymeHcdyCqMVjnQZCYGfNm3
lVP3D2qcCPtDa5x6RF28kdNJ5BTnOEK366EdfqWsQ+sdtqA0hBTuQXAEnune1VPQXUY8OXsjZfxe
8dkeiwKHxNrRRVoeYqwiepPmKsYpqCOq0dRgWR9RR6L9lFgVrKzeyb0XbOhogQUmTYremwHAUOYT
rAl50d4Zdb2cwTtPS97e7AdjwPwZLclBwo/QXT5oeR9/Sf4WekMfqiAYxueNiZ9g3145zfSrlgbU
SGyn6h4RSzwz4HLCJsvAsN430Sl0yul3HtbzTs9edmxsIucUjpfqlkuDH55q+oi/WKg5m8zmOrNh
yFi8dbQEwJUoRp5+TfQrEbYplJL8FMNtntWkfmFTEvLxKISjir4Qdo2sng5fPL76hr4hsESRLXi7
D6owhzCKrpGNKNuNokbNAC+R30vBMLRF7o7tUwugGP29aAVY9dhKuFVxvdFk6eIFDYL+SLfjBbZe
up77K1ltVux0CAE7DXWg55cmbG3FztQJkl3cFtH3UDfucYh6+yOfCn/TRgQj04pjfiG7RIsm9ql9
k3blting7uWub5IVgHLMUzMEkxJoim5/KasO7403uHttNxEUUZ/gpUEKTHfAHfUjYnnZnupSktxu
g1AT5yfhSKJyAoPXj4aA/iANc40bEa/3K2x0a9PF6LeB4+MNMC9RELACdBONRbcAKZVXi7eDPiD2
Pqv809zaOL8Bah+rKa4evKEWm6rRGKB4NyPAznjZLg0OIBS23ps3MavUv5IuwgQdyKBroO4XhBHt
qPuu8MHckzksMbxJ4QFzLY3hJT3N4lN1o9hk/BxY/qvlAvEPbTqL9Y2iTRZIiFGrnIXmbTksZ+MF
bkdACKzkus6HQ6r0X23PwJMiLQLgKEDNkQeKaarYt0nGxDto521Zom++bhOfMWn4Xsff2RDnx5Y9
7yaLfT7vhAkZkN+donTwlMP3pCyirB5oAeEF2jXmFzMFrnwOP/2k0k/B1nYLfM9l0C+cDR7+Ymuz
Rz+ycq6eQPeKfeODCeHg3JRl6+ztuPBAglv2IaTt4+jgOFsKOM6wvPCmVFNV7JK8cZ4a257PQDvE
V9Co4kysffwk1k7Mns69fBdQ60gzZ1pqgzuYfrul18BdC2R6kFiuf8JCydBVI1lnpFmt+pOsmD9v
F127xAAcWlwmZnryw94+SarxUIEH4mtSpQ8jm+I7DZqC4ssxm29GiIYBvv9u+T0nNIqxMCqAGanc
fyYNpG9mSTujbqkjwYUGx6CCCS2Z5H9n1tTsm450EC+T9zqAWbha6FG4bfF/7zqdlLS3O64b7qkX
MweIb/s689N9AVORSFfF8iPVVffCuIuKn81ttSaDxp1jqsymbt30x3eiAOgJsg1wlOXDxvlyoYkQ
/UBESbuupaLaq7guVmOX45LNzd4ts+MoTbXHraLv+xRFZAXOw1pL+poZdqxc7ZwedoLxOvdmyLif
9p6q33GvnT17ZqsrXM+9ZIHqDhQrTo+ZgCtCIi/HoFSk73XmUHIociwGPQYwSAskwqgK2VXudX3W
jnjoKRxmonEfotrVW9eL4xO2v1XtzP3Bmbw72CLjWtWeOs+utBmkAkz+Ll72AoWFO/IQgwkz1nbg
ZbzTgWC800S2OaiSLY+M/1ZYNdQI09Q1ZQKUC4ADeUblwRMZo9Q+az21JBdLWAt10Lv3NC4R7TOJ
nm9HRJMtJ+4MCLjIdnSr1KdlMRVyrZ1U3ZZtGuShqP2wEl88u7rG1kQtT/uyDAHTnoExX08Jtvc8
FfxU6V6vND//pjDd1mvhUZ7qiRiyGKNxM7iuy5xDrffXVGSfsLZiVHwMLbgW898UL4V7zofyAmh4
ZBwKrTs6MyAFhuNbd4W+93ZewLOMqpL0ujvAf5gueMy8u8ol+wKhc7AoHEFK53Ae3fgMtBGpXDT+
b9E5DxaekzW2nYWBLJwfaOPV28miVYF+D4uA9sD+yMK1NCXdEasQu6kZc/Krlrn74RI2FW3Em8T0
8dkDGb2fuW+AQmGwhRLmzl9LnDkvIP/Ez9j0AKQJeTz0lKVDN166O7zS6XgbDXjk+L2iQ75kf9Wu
Ldut5bTTgdF7/sEOkz+krSsPYMHqbSNycmDEVkFgzVBa/Y56VVQIVORpcY1kHIYBDAoqBjcCC7l/
FA42ADqubF56/9/m//v/hArMAkWh+fzPbf4vXffZ/JeH5vP7dxv9q7Dwj1/5D2FB/Y0BUuLz15pG
NAz1/z3N7XmQgQlYYbeUf5DBrPz/kebGyK9sgt8+lS5SeszA/xQWpPM3hADBr8SbelUj5H9GWPh3
UAHGfhcxQWgtJGZ/56o6/Iuq0HH90E3vDvsK4uvTyGFwD6JUV2sqdZovK1iw52C7rP43gARbq38v
mbMDhV4CYgOpRcKA+7c/uW91SmgOeKZWfbiLG8etPnPJ3QjUqK3yVU9/NUhCfHzvWZWwS2KhSSeb
72UONy7gaHovssqWBFyc7COsQ4x2WPwBPtmzwbDRkOMRLaM5AIyw7Q+jRChY1z0w1hWODnLRFSzh
L4cNhdPNTQG83vE+cpVPn3Mpg9dckDHmDjUMj3M7M/2mHR1LMeV1tEfjymJDYMv+yqiKd5Abho2f
52ioZbynOG8eueq0S/GV1NY66pxhs3D13bRhyb29sW8Q9pJHSnm8t4CXNFgMK7lp8sqGG+4qegEs
o8MXawB3uF2MxTHsS7piwvm3V7opyUZnFw6JPHaS1Ng4Rg9+1Hu7YaJaG5Yo1zu7eI1j2u3Giju/
PcqnwbcYlAIJ0JhxExA7xN78j9nNoQO+IqE1lWoNdsBszNjzC5vapf4ZVyRMwWKlqyZZN5P8rKyM
cvdAnYWLVk7g64rnIh7CkH29/9TM+bzbgj3jItxiFyxhG5UgkcJ2RLjpawqZq+7IagT8Wdb2u66E
Z1Y2CgNJjQ++B8ZG9D72cBzRp9FScr/nctsf2evYAOcc90hohUXAIGs8Rn1/gtDGSmhk97JAGFr3
biEPWMj7XViZ/ESBgN4HbhZummUGckEgnM5PWGKs5E3GxcpS35U9mEOvaMPAeGbdwVYrjtgq48u8
ZG26KRQpedNenQQ+vEl6YlAHEMH9KDcbKohUsEkxMAzgNlT7OXuYr9YVYTRrTV+392F65d96c2x/
sZvNvztvJmbgpxUGNQkxBnh/eiN4+cARbURMxXUAwG+uz9w2rFPuVBUWt7x8y7Fk8FknDfdywaS8
8HYeyUtzh6EXBo6s1qDgdfmQZwPYXBG6EApQAIqNxOR2p9gMivVkO9lN1uY2blkcmXveRv5T7lpN
zVVViU0N0VNuXcvmbgcp078VDbBH+AHz8Ch5Xe6UIS94MqaioIDNuvfRdv7MG1emyx1XLDaltWeF
l3n0xVGQ5SzWGhPIzcIDdUztkRtdJHxzUEGmnksEtfC6R4hnPsw+yVcOuiImRFbdVOOWw2tgahQR
6gXHp1RP0jkbSzXj1ncpWDvNY2f/Bk1S7zEn2K+pE9X9vstt9UNpQxjAZpXg4JxrvEKultm1Lmxz
RiaoejljFyNNK11JzI9IBl250LOjZ2phQXrFtYWtTdg7bKLE50g4e5eeniTCgkRWSaVYtAPM39qk
X20e3RAC2VegZnYUPFOfPcjsAMHLudcKg2ut+purY3vl0210E3QMFotNH5gUVbvBMtwdkqq+K/TS
PtSJ+I5Sm/bsEoNj2GXmIBKP9mzPozYFN/fOm3PK/nIvxsFtdXvkO59dxyS33TiVX6BiwNfllr4T
c2LiTT6H4w2tstNPnofcpeJRxucAWSPiC+yTtlmKeSB7Pbv2FwnU+JTJnqCC591PFN5S/tja8Hls
1GH9uy5nO4NKQ6aVjbKV81xaGFrMlngtqqm2XZptZwq1i6F/BJ8OTw3ZDiM5dt7T0i+/2YhwfrSl
Urvoeq0JYBDcEmLgYpFiUQuuGXOyQHT5dFH+YAk7rNeu0ztrUY7hBZBd6jzjhGko355T6k0MfPTO
yvu7duzbdBuVdYmc2833fsNGaCYCBUGN6ZpvFqZbTgvz5YPx2FiF6x9wWfIPc0nmZvQSQVqT8sXP
yujs8nNc5dPI7zDxBUbBvSM9Ts28CQ8QpeFB5u6pw+h0W0kdnXrt/vB2iu9Aplf7rEEr5l6HD+yY
OOm0rijTNttmWagjjlsiKxsyc803zExu+qzOxY2nC5zPMqSBYhs1VoIRCrfq7RQNF/iiKavrJt1m
nsMMiwy5J8k6sV3jgdm79eAPh6qiqnA7DIN/V3dp/ooNfGZtbcNdAE7HKhHLajvV4decZbZ6aiF9
YBFYiqiDFesIUuiNbriGMh1wxwXQCp2esnmDIrROevFVscnfuXm77DNpD2cgL5upKd6tqQdbHE0t
nI+Ubbv357ZtE5Pv6SJVle+TVavj7nlMJTJMaCcKMr43IkxoHPHZMNas/YvHECgnleRxswGDbD1k
8D7uJmus+U3p/PTVTrRNvEH6sDeyNvPWmGNue8l2xHF2TmreTG4zrBzMxvwTottgEN+1N/01c75T
2goU2xdyPsYL+w9rquXBYp21is2VCS6zG2o8JsxkwL38gQqN0AC1WyJSOmU0qTNWwFfiF2ZbdyNf
gHDkeDa438dOtcM6t5bokk/VvC2TeGeNIW4mbe+6uZc30UQHRWbhKRSWF39PBitX2A/dLcF48loW
Al45TSm1KzVgcbIe+8pDkeUnNG6ZBcnrElOkyXR5CTNqUAHEVttc88FmdRHelv5Q7sO2ehndyHrG
6dgcusCFeLCQvUk0u2zMQ/aeE8g/Q5c0Wz9t9Fb0Mt24hCQPOgH7HiXBA/2EPL65VPeYHbiiIYSv
ZTMARLFSTUJ98gy7jJTVudOwLiFFDr2mn9qPq/yFZEEzELvLuH3QJCq3id21/rakjP4j8ER28bpF
nIkdpD/thKnY4pVzxGA/vnFx0hsAMSUBHFeUSLtTz73OE+GPiJb+gPwDEqbLZLXhNRvuITe6mNFj
O3owFgr2OjWDONFXNO0nmTifgY33bGDRfU/XVYrrk/1nzOct9ckEObr/MCT5yYDceTKB7Z6FP9jP
c52Ev7M2JEENLjTfU3YZpxxMdnhMsJGcDB+1oPgpCbYGC/yJRwXeBWTqgcJY0lH7XEj71SE4tlKu
gjJJP2KwjmRmvqn7FMM604FX8kMouNP5vvUsPZ0cYmSaczIly74Q8/Cu3C4/9/VccP9kfLibi4JA
QdtTTNYJAY/IjZzlOU3m+Xef6JzHlOLOS8O9noRYyUo/jZGiGG3JETLa7xIUi1e6McRdiF0fAoMt
CKheyTTL7OFX5XsAzVjRA5HnEOrBekzPw5irA+ix4dEKnI5pUocPTlv6t5nt2+eOPoV3Cy8bLpi6
fHdUeGxLG4x5Z+5YgmvSTkj929pyB9aPKSIOdlJ4uZx4NkLvEsN9cBbUsKahAoudxmoMAWR4NTeL
Vd/iEkbJ0XyZUq7wd2HgRWgYRb2SQ8HAmM/dRWNcOBL0SXHmFPaLg1SYrsglOc9hOLILWyz0owde
EbzfsEIMMwcY3RR568frjE5kaoCLYKedYtkFWl27xLD0eFnwmcSVvbWknXLOFPNeDone1Szzvxla
uNmzh4rXZqHSAkfuXOxzd2yOVT20eBLlcrGClmnTnYp92vCH+JaQ24Rqxi0ED0MCxTEPJSjyu7Fl
AfNZOnKqH+cprrMnS4/G23RUJ4XcRLjgrWn2TEZcplfIvJKD4C0LbNuH3T9YexcY9CVXo3meKjv+
Wejhw6mgoZggtMAcbET7iNHC/ujLQD330ygJ3TUyeL8qkss2iePiyeRW9D2NOjlZWjmftZIInl4N
ewCzkZ4uggH1d+NQm2rGkvonaM31ZW5szooFixcDW2tzqrldbfb1lHJkN7QkvGl+3J8p2v0LkEfd
PPu50t1dCAnBocJilCxGYYNuTZ40W5w8RKJ8cnY9orYh3BP3EJuPlc2XEHCWhYW/d9uGKMasWZul
PL1oxL69KXkfnks7CSBzOXV1ZxovouPaooiTjgTP5nn3EARxGZljXfbOR7aMcIxscnMV1QGfkivR
ulZVfWlc9Rhbw8ZQVb6pWt8/d7Nh7c/38Jq2EJ+Jh+RhiiA5Xp11r0gZ1rtdla6P1WpWHxqJ5DR0
47wbQPvdy8XRj4Y6drOyzRQergzDmkDxkYk6upmkGg81iAZIfbL4RGMfbrrS0g8KaMyOqs693ZXe
fewl8wlYN0F1VP5LgVp2G3RO/6cvE9GFvR7LRr/GN+Zlcwg9DFufIo5yS8TwV2+ib2vIp8e+EmHB
Yq7JOa1li0FED8FP72Msjvo83hEoMpthlGgJftC/jQlPTmYV3VuSGYT0STu3RY9UitCVP9JX+WNU
BBm/6oILRCWs/CgUTFdx9Vs5ipo7Q7qwaFP9zBqwOy0GE5y9dONrauNlaa00umMnnTyUS+NgRUCH
2+Z21d1MoSIIapnqyP4yehxYAGycKi6rVZOM1UPPnfSrnqV6jGiKppwGq0Prl809MJz0WHr1Wy+m
uARMhjIEnN7ptyCb/HUzsm4laLZ8RmyNV/bUi3WasfKeu0S+D1Ep6f5li4FsE7wT4Al/hbQy7l3D
nMZrdbjMppx/xcxid1gR6V9pw+6299L0CZslUs/IyncHi806gdyrbsOWr/zQct57BKV+Ab0rCHZ0
8ecMuNQFjs462sbgfEshHy6BYebpIkQlNhFVf6sFa9bWH6/7y5k7Fi7I3VJFyS1Sdvia+W57csmz
vCIVc0GNdM5NkIClDwUYKd+xHzwMKKfQG8aNRajnGW1X3kZWXvygNkY1afBCPvvMk3ewjzCFzEXo
fPsk/UhgN3lzFqZFI8IzZA4WXzSK1DKKJlZdl/ZvMCU7syktVb11UwVViYZs+yl15+rZa2T7ifOb
3YqX9mCX8K8U7y1BjM8RjD4SveF8Obdlox8WTr/XpcEKd5NgPqQIQOeq2SW0GnyajuToyu1j52vQ
hX4tZb6sU88rP6eRlB6ClvdWapY0bt6VN4ZJjTgcZwd/oQToeeFnu3jw1AWCj721deMe+CTb+8bG
nIIM2H32ePzP9kD7YEuVBkS/ODsgf8y7BQPDTetzYJT42d8bT+A8S3Pr4mapu8bkEq5sb91xxJfr
osSgVhY1IcnAor/qYOkFeDd08fkqr9mvBbcN3GnYx34Gofxd0Ih5OyczyZVwGaFVlJRIv6XcIaEX
x5CtvJgeFf7xhplAhVyoZdSqfMcUAPOZsqoPGWC18PCbu0iqC38Hqy0vV9fOxCLIFK8qr3/aNGYf
Xntz8bk04fxDeCI6Rq7FMUQP3ibKa2hcKMF7PcVfqWGxRVZ7hT73iTw/w5rmmR67zlmPUSKuw9gr
pbzlaW7aJ9L8cs9y2zpT+4Sf1OBv64PM3VBXcJP2FdaZ3r90ECHuQyfMb7CTSgt0DotsGjjSo0tI
4ozNQx/jaebrYLH0Oy1505ebLHKur6l8l5ZwfAJSAbyqWp40azlPOJpvYzNHG5Yezd4OQvFFmM18
VTa1xwhPJTJdlNVnHQn3duAGtdM0tVzwuT3MEO72vJtp8Qwt0okEDCg/sNxxn1mBWlEB39y7Utxf
d0IfQod46XPYUw652CK5Z7IDPCH+G3tnshw5cmbrV7nWe5RhdmBxFx3zyGBwJjcwJpmJeXTH+PT3
A0stZVb1lazMujdtvSmTSmJGkoyA+3/+c77D8+pMlsxF7ZJORPY1ssNlmzB4LsQw2ehvhIatIcqe
CHGBUfX7xr1yNcjsZRqlwcVMYvoAeyF3yo5waVD6uLIkHYFeMPK5zAJ/oTJKMTZqUmnBoVc2R7tB
S1zarRk81yFQcNlU8jWhzeGclC2eE0j7PMDtzrlaxJvONa+GW6kObllsW2e90oijBH4pji2dlzur
TBMya6M8snusjrEde3eukVWbgiBwuDLJxL3QGKsuiGuS9jcL5hk2uzxd150GC2qyieqF9kjXQj2t
CKuDYQpN/RMYYrrvqAG+B6oVYCBqTZvjaIK4PXnpJkzacNM4+nShqJgUuEmSb2EkuXceUlVdMRST
ImrZsW8jzSp2btlPVNBm4lA5VfLoOjVPwaGUNXojWdcK8cogeFzJCzOB+TS321BRq3fcuYS9sySH
mSq7RQh3nnHP8GBzaI+e6iTO1L6kuyEP+W3SQ4KFPBsARZnZsh49ba8ytzpopQ6MRCvqNz3mAqKF
ZbySOYmrCWse4/o2JXB8oZFLbcBwoirS+Dou+K/OXtlefqICoN9YGccpLIcZGzl6gVrbVsRnHOof
VaweqIg2rRuDg4d4mZH58onCKOPJ64uQzeCIZRXlai6dcZN4LbIiZU7u4+ohlVzGNwQFKaLAHZsU
Gy1Dyzt2UWQiyValyfsW8aNdRGmoPePmkAePbSfaM5fodBlFSXdH4XoTUwVMEUQkCIZyn9EQeyfH
hbyQ1HH7IxFAn8EWum+pObl33gAfagMzTQMHnbhutnEsCJ0LwjZ+A/MUssgSZKR1J+ETpYToYpyb
KVit59a2km+dpkPi8r1et/eDbPBLT0j9D7E9FS+1FfRbLSnqCx5QUsAhNTjXbgwn5DYcwbcVeZY7
q7OpRU7VKzZQvMiepHYFEMebVlrRphpBX8bQ5g7SM/OnRCa4OgpvwCrjRuZ6LIwMIUXt+SlMa6lX
w40bS0GbCX3C90p1w4rk3PSAfOkcvNoUt0BekRiS3qtOYTuBfib+6n2iGtAjFhZg7Bd6w+pAg4Jv
rzTRg1d2Ctyi2LyHl9hzOSCQUMezym2xnuN5lWgh/hQgwVNKrwF4sqVL3SZlDw42OTA5CXaSY4Zq
+ylS3wj8gaOLcHhg/C9z3I6ozs7VqyxrWFT9mPmAlca5uspCqV11JTU0K4uKug3HiHmb2b66WqM5
PSOc91dYRQXeTZi1cWHLrZKV9WixerxYlQI454GXxMdjjiuQAyQU2mxkLu89901VaURhuJsdlUbr
W6OZuMNzzJD2sfbwY/AryPhnRD3VzRhzy1oqWpBexkkRxna5XG8iGlygNMTDZcClQEYd82vBGtz1
r2XSTNoypLThMzAiCqli2zDuscNi6Iup+7jHtWiycQ0YoH13cjhOJS1ufsQgNeSWc0OOTd7VYanf
mb0FhUFzCtpigrh+nQYvvqGIjqhwV3vuWcfQjIxTyKTYEbE2HqFPmkcwkG64zOsYWK7EwsmKJskJ
yY1a8BGn+fRe+Xx41tSQM3t2QN0o/QM4h9/XYoybKDt55t3WdcsiizkJUD2HC7ag4KPX1PyA40Pk
GPyfhLDMvWWo6aybOEOjKNC3YZ3LI892DiDp66B7MECt/JKTj85B7dHV4uoK6VUcBlrET3avwBRa
UftDtvbsiPR5dvaeXwvaiIfhu5sE+arJWgxrfZYslauKXWFP4uDw3Aa9WWb39tA5B80srMVEMeYn
KXCrWk7EZbdVBjh0hq1zRwvz+t2o2FxTTSjKO0Yk1O+qkI9pZ3lXj9vZx1QJsKtmwz8ankMy7OqX
EGcGI14wsu4A+KXhLdHp7OJneF8QOfngBMo9aHe9/4CV1gqWcH3NeF3K6LbNhbwry5TI/8SzBfsf
VZ9HX1fqNrdEdqzAFj4YQTlXtLvi1h0K1AR9zOEUIavNB3IHZbCVcgN/3IWkU/TZHR1mabKM/MTE
YQMA/UoGht8Il5sTLY3uleVWsc90I7qTJnUqhHcAuncgBxu7bNZNg8VgikCF5MCrDnxZeOHTrX0b
DEop+a8vUdCla4Mw+Tsjs3fTimm6HYf8szYcLPstdclR6S3NxB/Prhrz+xiTB1lyUS6TyL8fScDg
q8nmPm+ky72S+tzF2QMQTkxoRRalGAvfFXx4xkqRjZqrJ+HP95uO8ZUNDUTbvRbnwV5xbX8TYCZg
DuoGGCjcunc2F3omgczROnzOnHLdMFSHuHPmZhY/lK9hOjQntqsfZZOaKYFg6VwiUFjnHpjUdUDO
eCuEZzuL1AhCotwt65sIUOih18MdT9VgRux7y1BHU0ib1vxBS1GnLaReg6w0SqnFS2R3utOBGY/5
0uGKcGw1UTxbIUcWWRyuLBEKZ2qYPRY5ti0lVo3qiX2q2uf8fNdRrcrdgGtypQvdWnt4X8utbjk2
p2k4sLRSKn9zAQyf2R1CpHZH70dHx96x1+YeIo77V11EIKtw3mHcSfXOP7SBw0VWJOytrKllgiGW
3B+lKZFycuAGHtsc5N7Kea8cuyB2mymyFholXzYaCUY8dIwzzlMecr6oiUYoGd07+Ak3lm/0DzEZ
uM+yH4dvYKzVQ42Ds1ngnJ+f/8CdTq6fYB6bLGyKNYEsGEm0Lj0hkXI1mXJmvEWX8DDuWk+wh0mV
xUGTquhMAk3/llkOgaK+CkhHNSMH11j47j6gp+fIN4UPmTN4IHAAzHR0FEG0pAjLfSMd7NyEw4pq
AW15fK5xQrO3ifyNaVac+ZD6FY0POl6mMjC1YKVEPJ2pd+HprXozPYAYlIdwkLmFC2UUH76eYIpz
dTZ+WKJKTis4LcFs+h2dmwrmB9wdZdFgThUdS08gGQnxDUh59ckn3EAPWWrjsZQldB/cxsZj1jXs
UcwiPcI5hiWmAk3bI7LnYuU0cv4XPR+6RdDG5iM7Wytb9CxExTIvHOez7uLiBhu8feXw4u6ScVwu
ZkoD+FY9N9IVpJrhBb3ZXDdpoj2E83SVexDP2tAf1NJmPwhUQ09XA5mAs+d35mdqg+lSyH0b7D9N
tLRp/g42AC7wkSIOH6dcNw5DUQ83o87Gm2gNIjnpsQVrGhPMjGvwyerMtZb0V1tDGY1kz3QtXyDU
NQdS5Nne0wptrVJDrvqx7r4bIJnOLdeJG3N+OofTCEeJWrsTpBx4VB3/aUocbI5GK/UXXavjGxlG
6TltenNdKj3yljWRznhpOeolgip1bbquOJHjms2khra2zYBsvyH0j6zqxDqsvAa+fElf+VQnzbKK
+3jVZv30IUMLEoDhC8gBZb/jvo5MDNjF2XwZXv6rw8T/8xCgOHpMMbty/v/2oPP3EAbo+/hL5pje
m7994e/uIN/8TTDU0MtgGLgr7H8QQD3/N+5aeIbgqIu//S//6HrQXV6dEY+MpCCx/A93kEMiWYdb
R9u3A3jC/2tdD9Yf/EEeFn7bsxxqzT2bP2w2RP3sD2oxPHhOLtxdw50v3Jk1m/iFZ5Ga5UkRoywT
xkfD5FjaO5bb3mO+8eAC9eR1NqEfWI91QlEEcRMXnvDs+EFgZmG2dHo11Fu0aevRl8I6B32vX3JN
c9St5RQ01wiwRFT22nbi73jIsHXRR6+uTrpWDntqdDGxOGHEgitQIOYRRXU6eTK1bDH4PBDdrI9e
K9qXCs4cnBykaEQFNhmFd6dTrbnqLP1mHJkq/bTippLKrvkg6FdB5LAkcTC+2fCkJ5JK6IY6xpMT
yYodoA2WnEu1h5Mxy3cCVe1Sm7G5w4Q7rEJnsnZjPJJSsGt/WWjjwJ00G91rH1n+g4dcue0pMjuz
e/RRAAkwW76lrwEVAfNk8zPTDJdmZ5vVE2MA5pCgHCruhahBBvPxbLeNx3xdmp6ln0wgxOGhJ3h9
rTuOTYaZ0g5PLF4T+Fpe15H96OeaVp9HXLiSRgAGO2Qe58gpE7ruQgNfE+tYXzOuEya18dKEnltc
8ZzBHZ70OsC9nswgvKjyjInaUly8h6DriZiXSWB065YV+LSxsNi/YDqpGWryRpkbY6LxYJFFJu1h
JqtHZOlJdjhyXNltBY+5T72sQp78Ve5vi6Y1npyg9xtQWWFI9Zj8QSSBWwZrYhOz9KlsENYXlq7t
NLopX4TbDGwlgtt+IJCFuZh9hhpy/2w1Pa4H6sSArwOl18mAllnAVr129H4r7UJ+WnkndiV9jfE2
7qbYWGUlmVh8x94DGG5Ov1FQOgvxSnn3maFhh6b1lR1l7KxiqbJ7WmnrFXsb8n9lEW2RmcqDLop8
pUl2xXrsHTDQ+eAHjekhIIa66erSObhsXVm6aoxshn4hTLdMSynnwFnMFdSVF+K1waZPezpFkf9t
IqYNrpqyjES+qHP+PfuzPjs5NB2t+LOa1Zhn+akBCsvknNjxA+/W9ljqlpEsdbNE2Bn9ONnjIeir
RRm0q7zFWJJV+KjCrk8vvhd0r4rfLdy1MiD4HuLIJ9vQD9TbT1rP5bmJikWeiyd0//xaj+W27OcV
hz9Xoidd/OmYeIcbT1T3OZ6trYjahJ97Mm7dJKxfha/sfaZN7blS4/eyxTCwYFGVr7lxql2qJcmG
gUhLXyqtd+977CUpNIxUvFWjMkB1caHY92jTm4F41So2KziZmtmunY7mO4ot6+2EKwhDmpMtc8NK
Nxk+5KXdhNkO8YOgDUAqp8+HM01WLQZtia9Ihtktucb6IKukOBB79i+hVQfvdt8F6r+HsfE/7lg0
sZL+syPx36V8z392yv7+BX87Ct3fkFzpFIJ47QJg/OUoFBxmMC8wvtIs+BMM2xS/MT5x3gmgGFA2
ZoT1f9Qe2b8Zpu/4XNSE41jCMP6KUZYGOI66nws0fDy3vBJHK+cgrzUbWn+yyvJp7PUIZgLBIu5U
C0x7kbFujcBCFeEtXkCEm7JbjyJJGlLI2lB+Ho5KUPOazH4ZJRAsEU1FgxdU0a4NUo2OxtxpmY80
EkZb7FXazvObbm3SkPd9xICFo4Hc54F2L7rlwpZQq+1DgXZh7yVoKLd2XJhXXxJhCc0RAJKpFWwf
/Xgvw2A4o9ree3YlYdU741avDLAWEAfOicSrRSQ9sftk7bjWQeQ5+yxkLahJ05IQdLEwVYVHrPHK
jaAdm3h3C+/WAT5b1v45CDXjptNkyDkYvRHKjY+jSUwp0Tp3OenS35SO9ckK1ln2nfwo8tTbphUL
MObTiZ16MO6TqlTXyff7A/jA6NOvkeGz0ZCHwlDvYKi9HfMii6OWuaf3eU0vdr/T6mLcqHr4JKzn
bHS2DQs70W5cxBNIfN/8OtprbHVVHjwPtXVUdXayRbLCmHPIbRxK9KpELL+1DxBX/YaSis8sqzga
GMpTd8TkNZL97C2IiREcM6g9a1KwwYpaWtITRvKcoYGtlRAvbqKfkoZ5z8P9JPuG+PhQrzEs0pHX
aiyhetksTNL7eV4CCgd5N2iQg9pM3bIYajhemcTWNmTJXV/Z3ygYp928cfUre2XzMrYOsXRMsW+5
xAixKN0u/DDnqBcdRvwJrUVZidHbHw1xg20Gg/qSs1c/WoM7/mh8gNxIS1a9KOWA2bHK+1MTpRd9
Lg/AQEkj4EinAJyGcEHvM83AcUZUay4hIBZ6RyH6IW1JnhshDdgcB411MeceAwoAb9O52aB3pzsv
Kq8plQda2AuWfnG/d3Aro8MpvGQEF8xbvyvrFSHbD4TIYeNp2Rs72+4sBX4gM4Oo3JkyvROiddai
qpPjgDcHyLe3sUgorYvBmmaszHhU1JkbgGfuVCilcRIioCBC/yqLKEaN4ggE8hwj8VerBHYVsjLi
q20i6fhmV1llz4sCt/UJXrdxDr/vq60ijWd8tKYl1CV51FPgF8xhfFAyjfyauZOuL8nigjyu9KEJ
10jMNGWQKIvdpaBtVawCUO/tOkyMuV9DK0gxFV+9G5od52rX4kFQeIJQ+IGC2XH1rKUJCB0+z0yt
+HY8Kj2EPktLnVfApAP2N+6QfpvxSElTBlWZww1oVNE0eHS5XJV7wG9aSUAXSxuvm/h8AnBg+5ze
WuKilgYFNpjA5/6NNlTmS6xSDqEWyx3xnDl1766VqcfRJsg1T36WJEFxuxnMyivaSlhpFtQUvemw
Fp/pEQSyrJLgtgkbj1KJwKCU3UWaL3eByUockw5r56WbDMgfpKxCmBJpxg9LpFRZdfaa/UH4mCY6
nxDl8VFACqfCtsjvJZD2731Ql/aKkCnpSkIsRnoLfiZPNlNLD9w6Z7UT3kQkz8ajTfBxG5LFV2uT
KT5b6q43WSsawqhRzlsa2Pdu3SgSNQ3Qto0v0ppLZ86YTobcmN4LYBgM1W105xeTvp5b68GPVulK
kVjlG61Qqwk5DY2zqBlOKNQ4cNMw3zDBReeC3Nd7X5RcybJoqM9tKVscMd6U7PPBnd494FwMBuBT
XPmQKPEQqeEFzMuwkkU9vmJUrjdTGmVXKzF47LFy2IRFoe5tdt6brpPea2jWFGNbyp7eDH367N0W
p7reFk+B1qzQrLlYIruQ31VHlz8XGUrpBk4qvD5dDnqmS2GDagE/0Q5oAdibnnIGdLL6MjYk/rRo
CNpt2FeKAgaBzAAmpsh6GBvRU6fsQWwg76l7pPLMuguyGn0EeLC3YlfhoqcVGOjGRukDe/LYn3aZ
XeMkYY6CkSwM7CduhoLbxzm8SK+Z76GgF7u3EE58c5iMQUwbbA/SXdRsl7iVj7u0H74NURJgcOK9
bACpcn2SZNW0MQI6Q5tBdrdKjfHF1grWZUhsZ89qr2Pa2vsgcpOr50IXlNlUPGqTLk6anw2veAwB
VGo6iNxu9P0HiXx0HYMmz26JHJffCmKHOzhS/T7ocgGaG6TPuxvExpVr+8zaVf5lULPLRRmJB7XA
a58zAK3QcgAS48i22iDFkm15P7xsqk/V2AJ3j7qePQer2OxBarWgiUgbm3mjGUVrUepJ9oPlEdB6
jBP6Tdp1LtK44T7nPd12cYfKtfGJoWUng/GMp8IYrbXCbx7KkLpNqOZ98d0UXvmjE1r/0tdmW+Em
j/yV6+QNO89EEUOJB7g+WhlbZ0BGWn7OSPk/aIlV5zQ5DV66S43SdkFUaV0CnyDyXkAR0G3BWAuY
vQpK8+AS4f4Eb95d3dT0HvSyyE70YNFEjjtfPJJVcd6mlhME+AQPSZGP4YvLBvBqwqYqZhLPcC5H
8i0eJscdY5y1NkLHOCJCqz2TbMre1g6LldP2c8AiRacGr9kwYU8E6MwFCSNJLaOh3QRFQ3wF0FLd
gszKpuaca3HZLqYwn/2AOBnZS+gMya1OF+0aTbc8SDW05mayLOlcm6TLXuiU4k1HyNjq1qxzAgtX
iS+Sg090f9p7QasC5HZTo273a8qtvybejmlmvDhuEJlXlptMxcPXhKwF87QsrdmgS2EfB0D/NVHn
WspAEXvM8tsQ+lB4igtwpfTvMYwbX3M58BuHHq4kmSBifM3uFVO8/zXPTwnViXfUmjvVU5DTCgw2
HPcArABzlgOAYyJLRJG/7A0X7IowkA1U7T8EQ04wmpsLqkLAc98FHLODYWlRi4H8ABcHk3MCmcOa
xQlPSA+/CYKFj9GfpWkip5MMbG/mkVvaMf7SOarfNY9Z/iBuixIyzKJIizoCLyleAa6502fhpKFT
ba0YqtlGVN2LNwssLNHDx0TWyP8SbZsVvBs+2F+qDLebgt8wUg0aKKpN86Xg4KBCzQF/g7IzVcoB
mJREtrrFj61faG+3ztksCLEiQxvKvnSi8nfN6Hf9aJaSAHRZj6PRxfyax1GEa39s2/vBwkO2R3tK
D5E5hZ8cczwsA/CJVDWjvoS7LNYBPjN/vFdGTo0YbSC3k13e1sIYthJDImvzuZekmBwUh8pbFa1z
rCeY2QRxQTzGKWjTImAt4UzvHBjJfShM4E9t1W3B1Rn1pre0dG+oBjMeo0z9iXOHKxiUVTBjer/L
upwDqhoiGiHtuKFIWqfcYVNbQid0YnEQbPuBa/vZiZS/lWVv+mCRh+kCD5XcmhrLj0qOHwrAMBh9
I84hzBNIZy9uZX6wAnlF8v+n4ew/acL4lYDp2X+ceP6AHLTwZutlqYa9XWa1Wlh4NA+4BpKHv/4y
BB2x4JqgaEyHbqWfB6tuyosyCLR+L4amL2hxCeEujbUt/sW3M2uVvw5w8+/XIFJJKTQNPX94HSQ0
U3m45fdTW7TvyXzCkz5mIghHLyO3rqXx94y1MMs3lZvev3h1c/5p/fHlBRlCOnoF0+0fv824D1Ot
avBZ201cbTBpq3vTAyxoz5eDrpfZ1autGqeUPb6mY4meyG2i0/2HiduF/XXNoCESbDq3GmAf22m4
BeRb7l2rZimog9BhNzQpUYFTirOLbBrEv1JMwaJKIpi0jn/657+3P39DTMI6G29fnwmczh+04cmy
I5GVbbWfYikheeOpqBZdGcO4bbGgcsaHmWft/+qLWrMmTXCUm6lLNOXXN0sTYPbuUl/youF0sgSW
rly96k14wEVRo8X/XbD/Tz4Av2ZU5w8AL0atCN8gfxKskV9fDLkIyKWXq30PGW3tNCZ6t7bJ9UH9
i+/qz580i7elQ5utQORg+/nrC5m5xGtcx8U+bnOKsmyjCjg42Y+3u3/+HRl//qVZc70LruIZPk/4
9tdXwgxqJ87kZJibDEpWW64UQTtEiN0kjoFLmliIt/4UM+dVUS8vad9a9i2bCpyaXPnar9tfRWRy
pRray3fwk7gfNl93xX/+V/3Tz4SNCG8tzNf4BYlA//FvqtmhakpgxmkU6WJfea26HcqBYekvvw54
IfgDsFrnpPUffvYgC2QdAhzcFwHDAEXHZhHj3GSv8fU6/7srexir7//3394/c5JNyOBN/KF+1vig
//G5+fvHbvWu3v/P7wH8m/ecLyQV8t78+Qv+lp73frNwAyCLmYRqZgTuf6TnvbkLnX/tuqblWA6r
sr+n5xEFMXeyF5vFOtf8ZT9m/8ZXzA15cweE4LP9V0RBtm18XP7xUBe2qcP+NZDjnPlA+Z3a+5Mo
WNMlLgs/t2gAMOwH8GvTCsJVcRiEkKuO8Xjb1flrlObDYjA97zVGajuZtkODjuIf9rbwDfccgUt7
TqKILGE3uWfDL0QAblJF/kKaTcT9oHHdZ3OCdrTo4YadgjSaNSsFpCclEbINvW569i23pCNFqGeC
x1zOicCqiyu04ZbQLSsLqWuQRsoUHpJnHoamM+9a2ddHWxYYgQ3JyeFj2wihcQwrw4QQhvXZtPGW
yuSYzKWf3Hnt4gFJbKJCNQbWSESV8Bxs7I7kuov4Fzk5Netlwm7P0Zyj65fdWx1XCn0FeBujOFHo
JzCZNGE7Y+9zeQn5s6FFQWbLEtx53PzNT3/++OGFzcsD1oFwQ8IovYEL2dCzSRL7pOeJsOnr8eUi
LwU3oci1mqtWlam/4JY1Xn2echuGvQK+uc0MoqdthAWxc/L2EiIH/iDPqt0FNLcx88dBz6XQyQ2a
BnADkWGgECoa8L4TcvYI3RJz0ajwjLr0Kqdx3Ls9wch2hJKFZsIclvYUFlW4rE5ckZx9YhjhtCJQ
bW1ywYXXbOHRLAbrR6QygYwSOXOrb2Y3u0RLmXZKX289emh1frtRC2SWRBhQVRklVOzahYD4rM9w
M0PcO6VOzp9M3ueoMtSkRDLft4x8H1Vq9K+G6twDyggFbjjerzhTzUeM2c05ddLEwYQINmRDzDXR
1kPb0YeT2gm1VAJQyaENUUCzdPAvTV1Ua0CGTOBOaecH5GBxsoukPzhglq+TQ5WclbD/MYCWv+VR
lz1g4kDW0MHisV5L9Gs8aS2QOO565iJxBv8G7HZ0qVzsg2QIPHV2Gs86OdCY97qhEeHB2tXugaGZ
ObzImbDQuGm+M8j80f/SMm2lfjecgl7e5/oUvPkkDA5aatuvlN+6R0bvbBeajcmPqTT8mwaYur5w
BEDnRdWhnS0L9G7JH8I0vnBL2qMRHHpkbk/CvJboTSwpXdwlMab8O6qypo1Hwbvex9rKqeq3qsqD
VeDiSK9Vpz3VNh6dxmf5N7TaRrQB3vvRvqjUJu7m+BvCiARfG/s5gNiStzS5l6VogJaKiFCc139m
ef1hkLu/yd3mvm6qH35M6DWwyPv6La0faPZqsvtLjuAinAqaKkU+pHtczJ1um19AmfGu5zY9uJve
NIn5Y0KkUcgeRppoSOwO+igU4njrHBrQpb1ucbO284jml0nlJ7AF7pqPYfeIxlWcNR1qTGNY5Taz
Vdtelcs1C7JD1uBo0oFQLkJ2r29tQn3aQnlKm2uTw+gjpT1GX/E0gf5bgiXwD940RNHWavnhLAR6
5cCeo+cvyRc5OpyhkMz/YPWtduodhSmn90T6iebabloj0Wj9ShzeFmrYGrljb/XO1lHJa9KjM3a7
63VAQ6Gdzw7CIHgU/GiXreo8omwOugKunmaVRrPFa4YxrotEtZT6Jpi9nFi/93CpvnlGjbXQjJvu
mJtmuYdqnN4GxEU2tPbEP7DQBJiBU4co3aT0cdOP6bCm1YdmhckUfOCtrn2t7EzfYYUgV0m2KN7N
TtVNW6YkwHMpzDNKvotV3Y93fh02L7aJvBg0Y7OqA+AgOasP6LdFd69nRkPEssWelTPxrMxEiK1s
mbX4+ctbIrCzMamy228h1KQ1N/HdFDpHI03Hk4Jb8NKYoTyG4YCRPdXumUXTfVJ46d0Y1+HFlTj0
6Rwk4Qos87YuTlWMK6/rxluMgSARhdU9sqnqNrLqC9pdBlHvp7TSbnQJ0Oxo8W669FWTnZjSk26Z
tr5xwJX6GtB998r6Nn3CXV6e+TGn1zyd7DeFdSNd1Y0+VMs66+DYRe14ijpW3QtaXeQqaZVFgFv5
S4n77gzQuqBnHk/Y2vbbYzZOmPWmziFDAvWtIf0LN57J/X7q0wz0AiZUwlZmswxy8vGeT7fGWA3q
kkc2S6wsn1xWLFO1lG5Cv2UatQRdyOwscgpj7+Gl8i6bXxsIl3WraF4Hp4AoaRqV+2EAkNu6oPQq
UHrmuISIRVgpMwYFUcYqtJOQIU5dO8y2Xc9xXzX1xkiArtM12N9FvpwLTggXbPE+pHtQueE2IO63
jIMge9aKdnpUNmYGAJE83w1Rm4fKDmi4KMh17UPd+pQj7jXgqek3J/LqdD2VSfU4YDrGJcrVo1j5
dSNOQ+UlZ9OTI7oUz1Ynyt9poYx5G6fJTcIGHCO4tEKSSEEIjqL307ee52lCYkW3tPWISeSKy8dg
pIE6/ADoxqSCt5y712XjPsk67R6HxPhs2pK2mDiQ2kKEmXWhfDz8TjQ13BTu3LA2zmzRUdo2boXe
H9Ykc8ynpBH9g+BR8x4MIuahS7BWLIAKspgQiVM9Aj/JvmcWelJrIUnRisTKIFfGa5RQorBrcDJf
FCacNSXnmyGkZs8rneQwVU734gfhNyyvOz5a1NN6frLOzY7BWcPIWhv3OtGrBWiF/jDWwQ06f73Q
MY0vvbaf9gW5DfM+bfiQ7Fo/do4D5aH3XQFgS5OtuU0KHyBrRIPdwqGg9FuV5Deomvyi4P3vTWpG
tnXCYbpgy5DADoSjWjhmT/SK9zRVuxytueVvKs6UR1YpGRaYpgSVYTS39O0Mj2k1abCXfXy4WUFb
j8xsNGJHe/AGAddojFE2Te9KDCm/aXqKY2MrTp4N/P/7rsnbddMV1WfRJOm2T8lThly3doMo/BfY
J+MlMNzyswPHsOnl1IO8dt3xHjm+3lFDx8XElDvgldEpKttxk3ZR/eYXkvyVUbo/xKQZoCqcS0Ux
1zHXOO4L9pbfxi86SPxFCsGSOBe7dlp8zL5YIv6MFQkCvYfsMrNGhhk7AtyBB8mMIslxgq77GU9C
NE1tqfmNb90ZXgKTHIwJvQebaUabsKtij0nj1tIIgPvWcvgEay1vY5gowKnVzpgxKeMMTPFmdIqY
ISq1gsqHAH/i0hmvEr+wL9kMXQkqHuvlDGKpLLxiIj6NKvqGxA7fx7+IMJSbHAhezyc4FndU+cB2
qWfMSwTvhWdi3i7MGQKTf/FgynGgGFGHBs01YkbGiBkeY40KjIxOWuu1ryZPHDp6qrd02Pn87svM
/sElq2y3uLONJw4pSil7IDXii1cz0WpYL0Aq+J8Ygw1jg616eiPp1VOz6oiVDSdlDjecUyNx7rhM
jofEJzhk6TIFFxX73OZmSA61hcQ5y9AAHdI3jvWQpUa4y6WCfTjrgL1KjpZTuTc8EUh8zfgdNzS7
Zi6+BCfLV5xMwO8SbC3QnuaL31PpoHwybtb3ZWM2Jz6v6A5wssZNM6N/UoyqWIpmIJD9xQaqvjhB
ATdctt0proIBivT9ZLhAmSoqLF6LNMpP1hdzaO7YuyGnVqzSFGosq9IkNxfRjCpKIRxCycolXA75
RTNK64YIbjjpbKVpgIqeaRRjE1FVKsHyBRAJEOjBs1u5L9Msv2G/Sd+nkvnZ7Fxx9ULdxvQmrFiQ
6SzyT2/GLoVV651dPxWvbWS0e3a9dA9QCA6mKcd8Gy2DAgFkaSNV+Yi+RCe0sjJqUr299yDHBvNz
w1Z2PaDqwSMvvY1dO1s/9bOVW1IAsdIi31iOSdBseWq9dxjaF2TPqQLy7GhLboy6wliRIQlv2eL+
qGfaVECFwH5IAgmbTNsTXdvZTnyDqwQgu1sRe2RJeq/PsKoCN/E2mAFWqR5YS0g4W20eMYRA4bcp
zevLTVFyN+RvcnCd4gcFTtmKysSd6WLm4hcBbcjlyIkxRv0/9s5sN3IkzdKvUldz1QxwMW7oQQPj
7vRdkmtfbggpQuJOGhfj9vTzMTMrOzJRyxTQGAwGfVNAVkgul8vd7F/O+c7iSnn2myHHBBo9AJHC
L51Hj1AU3BXt4LBt0u6Gdr4ku9S7YhCEQwjZnZV045Zm5IN9yDmz002Z2N569hPuBj166yoTWhWt
GeNhc9Mp19nMAxkKWRV3BxfjSFAMBlktTjhvQozbG6vsWRkIxfPsS8Qp5CatBwKRi9zc6Pn4ziZu
06p436Hn2KABuJnxY1/I0q4CrKDzFZ89rC4WSddcPcZqGADeY1g1LUKxQDuHkDJ2IpSo7uteBbWu
cNSLBKchdBBrO5MSRlGqTT0ULDtkUWgbIRDFbLLWGlD8GrN915ydSSHPQ0xNlGOTu7tsXDx1luj3
QnPDJ7Ww3/AggYGDuEjDki50uPEXUNy8MOPyX/BxTiT9J3z143tnReEJdvVg7xs4WBQ09guLWRUF
nWb76Zp02B5EtGUkd46MxiJwLGveyxFMDxeH/hwRInvf6ZFEEtQIB+VFlrdH13WRP/YeKd6628tn
Ibp7i9XnTu+8B3zd9okDJkNzK739mNfvs4T7UDuLFGBMieFu/QC3bf9pTiomsC3UvetIWWhv5rAk
eE+X+euEEn4NjhkDVtWE/RufrATCqkQQUBTxrnBGZzdOXNUkscFpi/3omM7muO88pgQrLzb8IDEb
eQJ0wYChiPThKbKz/LXKfVSYTqfgA7it++hRuIhV5BQ5lGoISr9OWP97+vZPpm8GfhImY39//LZ/
b6b38o8i9V+/59cJHJRKmzG/7qJ9W4iY/zmBc8U34VgOdiR+xB+DseBXeozewGDzDmS07f6kUHe/
ORZjXd8wmb4t//Iv5GLZLpL7PwzgGBJDFPNtfooOCu7PAEuMR4hssrjcpb3m3bCuGNwtXUWxLec0
fYl4f72SvgLqz4FksyIvk6J5BFKiZ3W/ZwTmo0Rruntw39gBe8Y1TxW1x4s5lO41JBvxmNh4kwaT
/JepwP1aJZp1rZpoPJDgEe2dYgGJeWgPIFMbnfiRjTPkBZbY3bWT6+YD+jM+KckCaZgWXEND3t6D
Ce1p4y0wh6X8v2CbyigjQT10C/QBWweE6AUEgUqoPTasPJ+4I9Ir9p/bhGHQytN8rIpFzUdrwUqk
C2DCcTEu2hmeJiulpahyD5U9/lvcs04VXfs02bukhaAh0OxvrFplASQ0DG1d4656yLfXio3Lxofb
5sVkbU2Jo5+p7+WVFcfakXhQscUe01+DqRHbfiFk9J3eXVULNSNd+Bm1KdolUskI3AWskQMaO/Sd
r6NnZsWZKfs6VE2OWm9kZToq/9VoBIZzrey5100BkId0r3xhd9gLrbBrSFzNF7IHJCcQfUkqtxX7
pg2xy0w5ZjcPwqZjviF08zEkuoCNmrQ3ZUeELjv1bHjVuzF66kjbeZnisH0gQzX8NGbMlCvhAf0F
9QdVeD2BT0JSqSvofokV66+Fby85PxRajLBmd3xLp3oQ2ywUyaX0SBMFIDKefMQ1QSMH5FFinr1k
U2HJJzokB5LHe0TziJfM4dJJNZOJ1aviy5hGex/2sGJXOiClfdNW5dkqhMYkxq7v84m/i6gLfd0m
7tc0puUtzqvqqI0QWrKF1VIs1JZx4bfA1lHPGMaTJ0pexP1LXJqTylMK5+VLQ6++Al9qjqtU1api
ozqNt6aZ/ojhxtgLQAbOGz5YgkpOJoa0jRrKpX2F024sOhfuS9eVMBcWLA32R4NkuHY6wn52bwrp
o0bP0GzAGl4NC9qmXyA3zYK7mTCtktoDAmfR7B9AugTmgsepFn08LgCgOcOCzxk6QDqT44xHlEH2
a2w1jhdkC3LHXeA7kcyzQ5kNw1vBduh9CFFmxXRYm2oB9wxWTe6cT0q5Y98mo1FjKAfz46u8f0f7
Uj/Zo0Vm+oIDkrhe2fb2oJGJnFvwH3T+V6JgcrvhSwEKtbbv0N+L6GTFVb+e3Ube2CNcs8ST8jn0
bQeDY6ErnC+o7NZ6ITNQW9jYejCLjCGEcRdphRGhqSzQSVo2Fx8qucWhgHYTjaMxPDlF4h7pp6cN
3VZ1FbodQ2DoNDfJ7LVXslRG0MUoptrebZBE0Skna0dK5yqLo6QPwpwmAu2b8ek5U/eJ56K+Mg12
5ZuhqGdjbZt9HvRg2utN2bYMJmE/DI8JCn5CVR1Pz9eU85m78SfDxyCR0hmjWUbcYC31lSp7+wov
swoqYOZbhfiwRCsGB20jEeN56zKNZdBZbp8Q5ql51x0TtHnVcBS/sh4B9wpBaKK6txf5zgStFmt1
znBv1SQOHJAGItMZFOgCEFvwejSM6nbU+vJHy7hmpPqOzDfRAPVelbKNX8fKs8SKA1GbVm6ZEhm2
gkzpvk6lINUXnoT3aCB7uEZyMbzUOgH2x4Q5kLNC+TYdsL/bJRhQj0AdGn3tAxO/ifWQkfWLYjfh
BX7uNRd96QmsaloO7SGE8AWqNMfq2pXjVplAe3aeqS/ls+lrr0R3QFTNKmBVAIZbJGmo1wt9nySm
bNYWNr5rnNp1HIxjZ41BZBrgEVptSJvdxCyOjY1pV/eJ01NRDd5Ma0OB1n7ozeIUVcpx4hOOXrO7
l7GundxmLraqkF0TuCpmLJ3WxXSvRxmVJnIq9Uo2HOQCFLc45Ac1CGB9ZJEwnNOIgtRbm9DZMIdz
H7Fv7ulpM+PI1MU5GEbHBJyArPGrIWD9mfypdgdjZsqJQKZFxQVa53dJ5obPiiydK6D3X/WkNe92
4t8JnCFYXu0IUcaYV85W6UTwKFuNb5PXs90RqnfehNJbzMTM1A46wQzEC4NN2UVG796FmTd7l2ih
tawmUZDckbnNsIWHxC8A1avbZTmmkZVDk0+8HYfvI1uN8YQRPXrSkbnXTPYE6C5yOgcmHM3waXjc
KiT7YP9EyqEHcTzYV1rWt+6K3Tb6665Q9kHTkCoy23a8F8lU6GHqnOw0FC4Em8IoeQNWsUCizTi5
3wFjMx4VrcdVVthoLTKim5OgRHn5Yrs9z9lFDHB0BF4ipMAJoSAtg79jlef1M5PrQhwWpJdch24x
2BC0rZwQN1Q+Z7IC1Ktm5Ua50vSWJwjXLP9RA3iOAXcRTV1qPZ+YLjTyZ4z56sQZarzrRjc9s6vz
DnkpoA+F7pxy9pZwUwcemgE9SWuvPt9/2/a0Q0BC/GGHF0J7JR1zPJHHpD8C0+LSg7S9C5PSf4rm
UXvUpZ/fYjCP8K2C4N7EoCeurLwksKpCM/XJodvdpKGga2ME0T31vZi6zZxY1ZuWVfLgs6lF72FJ
695OYmTbnIraR4lGaQboqzf6avQhK0N99igVWGjk7wl5OxKcYw8PDqUz1I00qfDxIFfTQck2jB5K
vfx0Y5Arz8YQ6gRQT4N7l1ppHG3dgYFF06ezWnVZlV382EBP3IVLKo+I7OEUdviavTSNb4cuZljR
ehAeGgRs+BDzD/5WdDuQJOQTCANuAWLXGKoa8x2+YE3CliM2acWaYVkREaV9qxFwRZx6relPMgW/
skaY7J6JKHFIawtdl/yKhPDrs8vOCeigcvDWhzDybnTWgbw9XRMTL/ml4UvojPmh8EdS5TAmk2cI
AO0J6JxzC+XaR52e8HdPG6wcCLjmq3nUOVF1T7R3Co7P3eCFcNAAQpoYpgwy0IeIBJMknsBrIV6p
14IbjneGPblI/5SxNSpDAW/vMwAEs95R0ZIIsGrTJr0B0xsiKPdK83023OpJq33CXwy2BNdOM/KK
wOuEz424xVhJIZO9MUbee5bk1ncsrTytyE+7J98YB17fGGyTK9zoO91hvidQ1H9K9AS1+Qz4utU6
8xqwb3qVT3ZIDpKdz7t0SO09N62En+kYrHCKlB3VDr+ffw790TuNorP8NUuWjjR6aJlvA0Jj1Myo
Fb9y6RefoUqtox1q0Qc7gAnDYzv7Z+bQ1zF+yAO0bq75Xzqh/24a/1nTiAwGpcPfbxqP70Wh/vI/
3gv57385kaxcJH9QcKAtWr7/twbS+eYuni4qAkMIGx/9XyUcLhIOX7eBpCPpgmvvIfH5awCC/c2w
fNvA+oxY7lfL12++Lsv8hpbYJFHZEMizYAv8Kx2kcP4o8oLyKXij6ggC/6iEIjUxMhQr510RcmJB
Bx4QAOgQDmOV9NdSZE4V+CEy3ZWhDTH6/VZkAbd9fZrGPjwgMq63U+za1045xht9Gl1wZYqcHk6T
QOtCih2JsxOlgG30m7CFiTWEaCjqqpsOBcu3Vc7H6HkkERhXLBdYW+vxnpOovjFwzT4DFuKsJH5y
VxhDtx5Unp0AF/iHcmYfbjE3D4qS6NEi6QUEDD95xzvGLhxpebIJU4mvo60o7r1UyF1WZMW2n3pC
GeVATQvNOL2v6rKzVuQzeOcZDCejrGrsPiN3Ac+BHDEfulKr7qDRJ9OpBtFwmhpWWNIctW3oVeFu
isUPkc44xjxnJMa4ZExLGC1ZK6Epxa6KnRD3T0b4wSzMU532cjO25fzKJZ0SZNJZeyPM7GPmxtOD
yhhCnFqIyNbaz1EvBDRk+nI+FfZViRdqBWAXrQTm8ZPNJOkDcniPn0xqGzC0BtBgwB9IXJrPKi2z
ZxfeynOU+AqhtzRfXJJh3LVOJNaRCSTX/bJmX0tO8e8Kdf/RwiBr7mIgrjrSawasgwYRjDzFRHvQ
tAKu0yxIjgGilftfkzHjhaDPjzjTteYEak2+azLJbDLve3+tFV0XJDoxVOGc8iiJjJH0K6vpAspz
bV/Olkl2j2NsZnzbm3j5SgR7WH6jRJl3jkmvWA/8FTZmY8knhDak2kAIktFjaw0e/OnepARHFuoS
G6kX3F0i86KbAmbAwS/q+GJDrFobsiGXrpIoiXnZGtjgtYqnS4gzcNU2tGaChzQvDU/xXaFUMgKb
rIdNOdWEQblaNwYlKZ7bkEbbXJX8lEMstGkL1SX8mqTDc2rplGk9jNjX1gZvlTgIh9q8c502fEfT
kkHlCjX+ZzTMAI8Yk+PYn3xna9VGeSavo4UJUzW3Ffpvgrh9GLdbNVPnmrQVd4nIoy/GFwhzyVcM
JjB3BFFVBrS/vGk6tZLD3MKO93Kl9ikQ3h8kX0/vczxDCubH2sAsDetL96m52TfYuNFQGrdL4q8H
591KyAZBHJJ3/VXRlx5JdBns8pWXmxWU0d4WqOoJtSMEEIDOJU4YnW5E30QlrMfRiVc12sk4oJuw
71k4wJ62pFZg4LbbEhywUXs5OWdK/4QMUh2gSBmwAosZoEsdlUjANSIajgYCdgLMc9+/y8fxu4ne
4TAZlf1dlHO+R3jf3Y2RLc+jirLNbNTiwoviowbx5Pg0amn0LiwEkohIsoOcyMpoTAUaKHdwtLiZ
b97nsi34XecYsHgxYPXnxcy7E1XRsEhWmqRfTY6vZDA0s9qTJRHd+6ZkxNJL/7MxK8grY6dx67tJ
/JEA9v2IwrTfOuSeXs8QpS6AuEBETXZxwY9GKRM12rJjMybxpjXAtVadaxEEWbDSOeNLIpkNRvIb
D1Ls01jXLy3+ufUg/DdKZBnkJI6c555wEk81RK31Xn7uJst+80TkpqtSAfZy25QEk27RDEhgTWsq
y6xfG2Q8YsAwbftA81cdafHhNXju8lfrXDM8p6k77kHBeaD2C10GLNLDMyEHubtuNNLkWe26rVya
bf0dwY3/6FgK60bb+nfYem/Bcw/rCMzFqhdeubU1b8IrYSv54Ni9fypkPq4jIZLvlRkLGqN5CvRe
6Ts0FPmhT60ksNvEI320yvZmotmb3I4H1nOAqvioN0G1nOnlRJted+y5nGgUr3nU4nlJYtHs7IHS
iPzP5Frj3LsqUC3DXsQjFtthvwGk3t7ZnPMXmJLhpkQ1O657kIQ7Z4jFxVEiezBaLf402BmzyU0y
2A2e6YPAGdO9TqjYXpWwM0sRaUfpx9RpULWqdT4SH7CRQ5FeRXYxwMmyhvkDEHu7T7MiuQPfkR7o
v279uWIdxmnJnI6Wznzl3vZPeH1aFuo2AIxZp7RGZYXfD4ZAcfS6dipvRNiNT+lYxV9pmkV3lHfh
gykZT/LpGPyPaMASprWNuDaos9+HonCeiWFh3ajP3pqJa7Fn38E0zy8NDV0Crm2ygwb3thgt95w3
s7PJrXk4940mmDrGLonxqRGSX0ICw6xHA41MAgg2RgKGpClifGp03dbV0vzOdvHnJni5SbGTcfOJ
mDSJr023n981hgtQBBlRkrOSVfBjsamdkTJE62gK6e4p388o+PpXs43SLUYj+gdusV3vFyBZl/EY
6eUhljJkpZAIMkteg4BnOTKTofpp9VVJRcvxS18PXImE23lVK6/9Hs4ezq+5NLf9UGvH2ZvVZ8Ei
aws8r79vwGcAihbkA1lu5B2jOsrezcTHnlr6ZnQToQBh/JI3yba2sd5EjWMdFIQ2bgPpqpM7GMap
L/Rh42u6Yr+WJjtAnJx0BFMnh8SIsnNVh+Ml9WJn1816emwdr+bV7OrHcADbSxyqCYVkCvcApdq7
wW7mLbNr96FN/f6CX87az2SBbzzSuU4ekoGY7FbEd5qgGEDWiUbEcc8+9+rH/90yfukXvpMt2SRR
3LX/8T9/6x8WJfMf/oO8E0JGbtVnM919goHp/rrZWL7y//Qff9NG/5MKnb+jj9AFhbwwbMaKLFP+
Ub2+ef/RvP/lvfzxl+v3iNCy/Xv/mSd/+V/8H5v34r385Z82ifpZhv03f8RvJb31jZbPFCx9Fmk2
T+P3kp7Fj2vYGAswTIAz+qmkN/VvrqD6pw/QedoO0uvfUQ36NzKTHR6PX2d5SO9fKelZcf1pKWQj
ykaaDaQBTxE7oz9ZB+qQZjNyZkE98qim6grs4DbaxtaaFNaEZW/KAhPz9J31CNPa5+OZPrZ1sk2K
53DsNqQPrhlcrPWsePM5XrN4HxctyoWt6zW7niIhbItD7H1Mo9hQ2jHFS5iZvZlJF+ABJY5pvqcY
YO433Vhxs7U4VL0vBrOoVJyH3ryOfsQlVCKyObsMuetV1ZBo5nzBWFtnJKTEGhhoh+l5V6xwplz3
RB9CCFjnKNQKh0xOiu31iMDZ1na6kwJJMLpoXan8egTG4BP4XQ4fOCUfW9S6jIhj9AALIdWaZNC6
jBHL711+4zC3W6k+Iw0tJes6ghsLQpzNCtOLi5Hib8vnA0pjONXYCtEFZTppYA66DtIh162U0EWR
NaNv3ChNCyAiXHL4bqPEhqZZ1aeNl3td1uIVtfGOP1PQV1FA9Cf8umFLHtV2EtO66cYNsSXUXu0V
MoNL51jXEDW+Z66D14PnOkyTvZKGCYhmeoR5vTULzO/4CFcp/eEqdkDk4DViFhYnl6iQakX0KN5v
oKF1C8xpvPrpY/M3HEE4xv783uJzB3pCdw2DvhErwR/bxqzXWzj0GgTjuXhsOq1aC9FeKBj3MWt1
fAn1JncdsJnlLmeXUIw79qonRtJqM+kWs7IW2XEY+gcHOjkTxm2iFuEFUjQVWhdOf6A3lJSCIjxN
201tJae6POlK7BpZnoxpa7BrLye5ksl8a+fx3nMh8SB67vgTymlBPNh3dvZKP7sNFRnYTQGwGWgz
uffUzZQbC76pPbNM3ZhjtaFi28tZvzR2s+2x+ky6f3ZEdDVOimCmYlfE3QNe4TVvSag7R2G8UfFg
NFPH2pmvCWiilsW0zMYIcK/PuzIjsVISW+qVV26d7zSmigzePwr4BjmyWW71RQVE9nqm5vM8doEH
G36S9rZCcFnwgCulJy0U8enIcfFsmtF1Wj6YTXPVhGLfGsNDOb7B0RtP0oTXkZaG+1qHMJK1OH9h
aBzE0gBDxFtkcMTWcPx9jV5eH3mOPWo5UiiIHQsrQqfZdJ3qoV5JZ377x28Tcxke/OwLWU5ny8Vl
4rEp0H2xcNV+8oXMFTkxmBnDwKmyz0hTz4j0dmFjvOH3X899czTc5o6U+Wu2UzdR2xzSYbxOErEy
srbedrWL0MZPN2krIfj5NzHpU03SQWSGCRB32SWN+y9pl//k3Y3n7E/PmznML8MYxjEQd3TvTx7J
VtbYe400DGqXtXCKpgarCWEn1XpU4N6bHCFzHnu7jnORrOw9vS6MKoOoDXdLnPEOdAV7Gw2yTVOD
kpGuy3s2gm5oJntXpSZipBy+cH/Pwbqz8vGSpOpeasbjbLHfxGAX2eN9IVpWVB4xVTGRX2FCQdg4
xGaPhOlQ4ZlfusITE3Wdxvp0YH6KmRi8FTLcvr8MnjpJhLyrxCmv4j4ENeX4b7U7Gyiy+wfw6Dd9
zpRH2WyMtTQObEs+DJ325cdWTtC58+Vo+T0K4peCCNemb8FjG18yBzoLzo25NgkYNUBOgUvDX3ex
/TQQqGd5aLfc5mOItcPESr4qhqBl2qoPax1GOLMBWBMmrIR4L8IxKOzuSteSS9txe0jd3ECo25Pa
uBhA1HPadI+stjjHxcuc1Y8RzGVlopTuGVrMpMZZKXV0pO/turynj9jrEcGPXfo91OV9HndHZVob
x+TzntoAw9i7lPqBuc9lEB6UangiBkRvVRDFpPuBb/hEB9rUwfqWP/1ZN/Jg6AdumeQ5H+t9z26w
c+m9pyuauC4Euz3Z287P17nLbKx9SVFlQ+zLEm8Tq5PP4jctw+eGl3BHf5usoYds6xIVejYH8YDr
pLG6L0x9eAici9IFgvH0tS5IdvdRVO2ZBpC+ZIkaaotLSknh3kItQL1Vs+BsGD77sr8wTIDXJ/qV
ZsJZKKC7+s+CbiPUKhIvNNw4JNVUVXiGqMJ39NWlq+m8ZnubVjDLBucOsf5JmNOwmZEf1rM9rTV4
KwhWUcmBmEiHDRJ8oryyl9QciGoe9+BGfGIJkgKkU/FoxeUL6+Pz2FhPeUdlbjsv9lw/jIVi+pOq
Qx26XzOphSF55sHQKghsRsTs0HFXqpumDbS9PLDFfM4Q/NZOhdmD8sJtiEaHYBGYQ3NXWdN7xkIW
8UT3oueocFlZVVAnpksjusd+9o69S66wpScB5vPMtJ8clxDRzhhhCaY0fc6LMtVJH8ePYpx9RnQ5
TnFrj52BLkq/FETDEL/0VLBb9QDKN8K/w1t8FWWvJAKsKlh1fhhft31yayHkm3i3i1R+zYm5mnjF
xtG/Hyfrmbi3XdXNh8ao70Lto8+8L3/W38ZoXEXIkg3lf0+FuUkKt19Htn0X+p+Fy5XhB0IjS+pa
Gte2dVOqO9ByoMkLGHty5Vh3PZLrLvUeixGlJFUHYBHiBq1VL0e6zU+CTXblgHKgfXH9ByLRIGII
shxx08QY2F5VdO9Gxc4BQOOJW23Z8bTDXaXIT9a0q1S/G2HeruL5rLPRdyex6rijEthzjbu1RRFk
iI590DrSuSF03QcvXbjWS6dwNk98rjPzxfMvBAaSKXVLjhKr8Cx+RmGEvB1iYJR8DLCsC/U1pmhN
pf8xWla+9fv2Q5POnj3uPkuMH/2QQq30cZ1nFfoRQgNRHA8bBHerzq+8QwoXDzuET9BUVDwlE1GJ
ozmJH1pDyKGneZvKcr3tUM0nuykf4qh2N3NqPPiZ9gog4bnKgOGP6WUOO3fdywa4LAvEQ9RleYC3
uQxQ7qhNP5TfKzXvkLvsO1x4SBYaOk/KqSge7zVRRyjUmRKxlivS4b1jgqyMBiNcyJ4dO8DsuMi+
+6M/xJ/epB78UuIASc19mkLNqGj8V35I7EToQlRa8MRp3z3QnFPaoXScxbmS1leGVCE1dlFH/BMJ
EEaFb22QnL7iivB0cJ3dzrNqcyNCK9o2YoqxHtjaZqh9Zjx2w94JVn6QL8qBf4tnUiBcRZkmbR+l
MTpuKrCHRC9eCGJgIFXhB2TYfGfFxpHXJglCMBkrU4bgtly3W7ulUkT4efyQwrn/r+pH/x/sNGmh
Fkv0398FnT4bMLc/d46/fcvv+kGo2R56P2ohxhg/5V+Lb/RpHozZpYUVv4gEf1v/GGBxdQ98rWAa
62LgpU75bf3jfUOOoJMHYZg81uL//Vd6RdNZKpqfKzUX2zfuYZ0yTaCpdf60BvIVTsYsM1DDEevh
hNVSf1YOahB2EOpcpnDiQwIUTw6zuz3Jy92BFU1GpVD48irOtO5ZDILYgRL/yIsjGzb/ul5Wh3yx
ZTCezjwIrlhmtpHdezd63DneoXecITk3dl19F7OtTm3p+s1R6Y4iRKBKFHBWEbJChtPkZAiEsf+s
2kQClkqF7sBdJ2qwlLZdbLzecwCeWym3XMcFUePTGEfieLTMfUSilGYBOq3xbM96eJrbulFHL9ad
53oezOfQBfnTxtpww8HKNdLP2H2cUo+OveE5uFCyGFMhA3b/aBq4BdpyoF/ONZ28jB6wen80WTHo
DI/DhpnlFJv3ejlA5suwvuWbepprgtsiA53LwBihhCIIkOomdtGKkW8IhmNdkRsHU6Ye8uHGwbDb
wtwWXYt0QAD7wtCL4CROjZFyxY0afZ2khWQ5MlZnU2lJG5Dp0pyrKdXtfRXDU1k7mMmXgyGd7ofZ
RBUQZibMs64bgQNDNkrh1zHgorwZZPY906pZMnJXebWZWkJZkROgFKH/SG8yLQQ9XLriQffSHo8f
M++wmvyLiXG0WyV+2oxB2+rVo2lZHP5zWozhzokQ4stm1CN2882IcDNzb7Nad77ro8cYWOGZLTAp
j7w0XuTNxYpAtjxQdms+1ypRz15kC9IxEbt46EqRnq3BhdWntFDlvSDmiXLXqxFjy4615EGMXTwt
drgRvwE/YWN3el9A5rWsOwQp1d6OIOK2heiqFcUdPjc9RglfxyYxRGwIhus072P2ila+iViCfYoy
pj8LZxt0Vdj7Iy9BOPsH0WvptKnthJhUxaiQrzMcqmq2Z0R86RYxMbNfjMwHhBTbAV2WvZ9GDfjI
BIRe3yhHzP1G9Si56jKKm5WO3ZaIl3nMNqxdKvBrHloIGEKN+nKMmckKD1HSduqS0TcCk4HT2QP/
is/eY6pqleFt0Y+oNEhHG7bZyC+2GoDnGyu8SxK1gomKvyb27YdKsD8dvELTiVC3VbNx8rSCHTyI
2EMbb3XFve9TvLau8piu9DkYzSWEqUmf5Oxfc42wClPNgKGWsbY86Wbt83Z09jnJmszPWz19Ks1B
34ErnAOXIJxz5Lf5aYoJeKpHkzDjJBvc4WrCXm/cGk1SPTV04VQCbEDtHo4Y8ZsyPQq/KO+jOA26
vMWeQN3czgf2wdSnOIuucImTXtJ5JcYr0CQx3Dki0uSHhZLubPYGq0dUYlj5NFB50xN7d7QY9TT1
OtpL6s5s24PvaAD79ymstCLNko9Qq+O7QZXOR5YPtdxAkQGiSSpNOd/QdxnT2uAjo7YUPw7LGy8a
uV2xf1rewfGxLN1YkZrmKw2Q4lMH7ZSBkAXYYKtGMWFFs2NToUzpJo55pmYx/VuUAb+DUFe/A8M6
4ctO2ZWyZppwV+p8ktaSydEaFRO/7erfbOlPupKqDkAoyEtr9t3OkIgw/6tu5J9Hv//x/x2wdwHZ
6tyJmGOcZSprWf+Q33t+//GexT9f9X/zAX69+D39m2Vy+ziMWBg0QJ35fUhsfkMGgnTD83/RgzC+
/avsw/2mu65nIxfh8ne8n3wDyD54dgz1dAtxCbiNf4ls7/1CJ/rPe/932cefJzMCbhy3fRfv88FF
acmTd1YQRyN/jVWrXpDsJXY/MJ07ZTXtUe9s9whxnYFDj2j3GvORBkHNY+W5cce8ebK1UF23vjch
FSvYzZZEysptg+CC7CNq07tCpu2tm+mC7Fsy0oh9dOcKT4CMIo3Mht4gqdDSwwqVFga5j97rNXno
q0pckWhjHfPRGN57RKrkcWd2GzQ0YLuqgJa3mpFmRuu8bx19PyCnfgMbHlUrq/JHoLM6sjH0n3lf
k9urMdOGeS3SjZJGWh9Tz0luR+naAArnpgZ/rop7AktGbKrEZKxH5tivSBKKyzgaE2vjHpQf84Q5
z7e0JjH2dhupfJ1OGTt4S6Ov8LPOvcM2Saq8nVr999TWxqPPJXQ0iK65AwdSBrWXmPemnapnPWzs
CwvE4s4tMmendcLfi1zOu14fidTUHDc897CJNxPo0sCKHDo+Z9A8zjAcsZzuKv6+aD8JekFG4we5
6fRcRdkwn6TmWF+LaPxer6P5M2Fx2K/CSBImZWbixieQzQjiFsce7Ng0enRFjsBcqaK7xNInFyBN
R/qVEYQfscIcxFme0MmmUT88uoajPdFwwEtwBld/9JQRcyA69ZQFCeFtF7KczY/UGOpdM3v12jA7
GjqqgfbCeB84ZyXLwg0KGfpgT7KOlMy4qTk0m3LvEtbWHgh7BEqZGWX3VoiMFa+N3/EzKsLxwe4r
xh+tQCeKIxaHgRuiY8aE6IBwh9yIF9IX5i6r0dTd2Aji66Cb0hIxjw8IcDVpeZVcDTgaOPxRJYgA
H7EGpARHxGfJ8pVtRl7b4RpAupwDp8amgiWuYFtKeyXfZpHHL7opq6U9HMubAtE2uUSymGgYh7wY
9jY6chJjwoYFRYIDltevVzxPix80LjDg+M424rrh1SeNumit8AtXB1bXJjfDzyx0ur2X1sr4LvMe
7U/cOAZTwiKceUuNdgeLukGmfyFswDjTMpchw8jcO8CRbb8TDzcGWiPJE9chkn7/39SdyY7cypZl
f6WQ42KCnRnJQU68D/foIxTdhAgpJPY0Nsb263PRrzJLivtKFzUooAp4wMPt5HSSbnbsnL3X7lq7
NS4xD6ts23dd8OaqeU5vddxT2bpjiIlymIovtY7cj0nMyeuIOplswSD0KhyORb62TEW7yAQzQnZM
OVzAikWPGNOVIunaQJi2BCzm/tpUmbZI5AMvMAUmnXmMlf73oG+kvcnawNr6Hgxk7BbauzO7sKX8
79t+lVMEPhiEBX4NGtE+I141r91xnneia7XCHD9KH1tn0N8Zhts+D42gqSoGdZpRguyIUzQlHdG0
Ig2tD8Fd2gEaTkQ47tauSsLtDZQWS1XaV88TnsdTaWUiZk4jUc0g7lUX5N2O9opxy7wSvJUMgMwB
DHAserHCuC+3slU90ZA0AZkRdR7dTuLgoIzm0z2bf+zvFMqccJuLadzXESZ5iwAyAruBlyKe7azX
JsjmD/oJkdzawDSuAPMbhOvG0RW8hCxe2cr17oeiSh763oAknPfSujDhSx/cNmzuE3/ob9rIlnqF
H8vYRKorX5ZYhG2Pq2DXhmH4qHHs0tMoopmQ2YHmswgqmmEaiO56plJ8K5NB3XCKE+jrooCE3nG8
6MJm/gDgA355imNl7bOMLgqDpIln32VV7HCCiKrXSlXZKzld9nDEhOaotSDNnEaCqb/wdDiUmFNk
3dCDbtcIierpaIhxQFzntw4uGT9VGF4NuNomuq2KdzVVX3PhyEftcgxY4UwN7BWaiPQNTmv1IuqB
JnJdNwrpUOdqsXPhL8VrQj4X7ArOgGRvV2b1hGgmze5tXxWaR+Kw6ESmSxaWUZr2KU4nZvgEJVhL
LaoxLciKM+HBzgf6Pg14U+emqqvmKjor2AeCbYlXimyoObWXQ+eN4h8xcrFN1ZrJI8ILuqoBpixi
rvLM36cMV+N1HilvG05UYgz8veTglmYXYZyux6Pb1wyCMKHmx27o5bwGDF606xzz/TWepL7dWFEL
RthHSjBUtTNvjMnI9n0Rm9AzCaug30zC6lhYYoSO6aSXTmMZhDAq9IIcBuJ9P9403ThHq1i1S3x0
28+XU1pV266AQ7Qya9ck6UUW6VevzsotfdMTgWxDt0pzgtFXiiu8q5TXPpPqORyJQzRRQ0yaY2Ob
mT0SxsEEAKc9VERtJtQzfgbOW5xKD55k8gF9GNq2lb+i/QpOWhbUD1kduKu4DPJj7AzkullpU2fA
0kIB9GbGAMY3MPaNdY/l7s62FPHKZj9/5OwGbNQJvTB6cadoVuN6KkKfEW2r7/Gl9z9cNp892Bzn
CEDz3WsG3NWE8x7QC0UHW7ftF2cUzsHPBHCaOIdggUHH/V4nDFjWinSX244Z547qHpP77PnV0aJ7
vZVT0h3CwJprlHBJg5coSUfoJLW+JG/M5GwSZle5YCHfpkOJiRAxOApCyCG457VEt7mOyY7et+nE
6X5O6myhQKp7O3VzvIKDc+n7kAgwibsnhjU+Fsiqa18C3rNNK0r/m5xC0uWZcNQ3bpH792VheodU
69Jau1UYop0z4IDxwqCctco7ImM5WuRz4m6LLHIPptDVF7MkYnboePwKK9NLQaeU4zRcA0BlMiLS
0ku96zILOPUmWpjbZnGay0ZXbxpq73rWNeludtt+GyOrupXEGKE0TSdydrI0um5F620d5cV7mhfL
QDKvHE3NZXtvBdp2IAxdPn6RboLCRgxF9D2M6/imCA3nMu0qr1gvwekdaCJtsYGSEPGKjcLben3t
01F1epMFIIxePRgHNaqgfnwzZGy8gbpGpZDqdHyqaD7vY7/ybpZp4zEYh+wH19vcohqcvnL8StAx
VVNLeZY0OdK0xtePwYQtDDDYgNzSQWzEGElME3CExifKQQxPsyvlzmMg846Dl1KjAjaN+a8NmaRh
qETIY9dOtOdRDZcW6h5WhyRs7pLGkTXlyyJA0HPOSmWjFs63VRc3ydFLjU7tO90QF4SflvBh6Dwk
y+ZWbF0jFmCO6w09p3Vk0BMx3kVvgRzwYdRgDvdPCBRmYPTu2GJZIAsoXvuzOTvrzq4BhIfT0LwO
iHXTTYPThwHInIdXibQdRIxaxhe8IQFxAQgw3qPYY1MbhG/dZ73H/W/9zoVfVaR4+MYif3LduL5n
zEnqbMN56D6d3GDD4TlaGzAFT0kr/BtrEW4mZw0nbwF6TvZd5laeDQ+AJFwkn1PeJTG0MEoCMBxt
DJTlrBC1zmpR/6wcHXpEpIhn0ZMSlodsJD/rTBVbRX9ln/WnPIUoWpPH6+2lpf37PLex8c1nzSqS
OvdHWhgBnlYymr4Ei7w1WYSu/lnzSqoyO3l21sIGuEVLVGI14KU8TVFStjpex4uE1ibw+F4vstrp
rLClxqTphEBiOy/i284vW5iXDUsUZ3FwRmedrrtIdoOYGCdMVuh45VnSOyDuNc86X6petKTNWf87
nrXAYZQbP/KumKnRugYA0qIanvtakb5XYpT1HH4m7iIw5s1Ga1wvsmMciCiQU8xQ27CXJDWhLb9V
Zk7KcnnWLdMOQsPMW0V83iJsDhHpXjiL2Dk7654nedZAn/XQzVkb7Z110igR0Sdbi3y6GhYldR2E
+Q+VJ/Z942C0pdTJUAcCYIKLTXw6LR4e8iLO1otMW4YOiu3QpAJcTbQdiftF0t3NJu/iWectFsl3
vIi/F783Bf4iCTe0hTj8rBMPz5pxa5GP92club+IyqOzvtw+a83RHoRHtQjQp7MWfXat6J6du6JX
g2rvhEKhvKiAfFUr4hadvQmoaN3XXrqjlYLLsIG1wog3G0k38+YLN42R3ZiMagNl0Cyd2u6Ki3aP
QCBNXLWadBLienfIZB2QdjoHzzYAiWI0WjN1YUy7GdOsu1cu0gx6YrliBE8g2qokxvvOMxlIWihD
mU2BUj2ZhU05JbJwa8vwK3VqsDf5TW5Vp1tk5UH0ZjeF/jotDM6VkVjhJprs7C1qlXcXzXgoIdUV
6XFQRr6fUU2vJ1jHjyNxpFMMDYqotvhO4LDa9DaYo1UoxXj06344uFUenaSsMu67TGhl5wFjZEzD
e5WZNFCbmbGiSpRcKvTC2SExTiJEkS4BVIzaqWZJm/lKyy04JJSl24wfDu5+LHccox0Oxw1iKwZU
SUpYKhj1C0VoIoasIlGQ+al4KeHkLcZl98GdlXOB1N24VS2UcAJX4cZHqewfawNlNKhM276Qke9v
Pdxfj4jbw9dY2jNLWwjM3w+ihMZ319OJy0uzuKZpGR8dQg5ue9deWrS+DxfKkWZ2JQynO8RJ7Fwn
Ni62VVim6U2T19G0EWZhbGKz8y7oAU8tLN9UP5DFk3zp8q6/DYxIfOO3a91acRN8r9u43TUBEcMr
aU+xASnatZ5trajqrSy9ELVMr9A+wTwze3oZhUYXn3SdjVIM8BA+xG5xDBcFAXM1A8vAGC/sShLi
nbvjycj5spnHH8IYneh57rhCEZU73XPDVoeQdKjznWla/JkmaWpM6HwoNJ2xAJ0qG1QjCqodrc5q
HTv2eKUQ8C+Z6kwU6IHH5aNVWKg53D69Va79w+MwyK5cZ21LYIWhLycCLZ6W7XPbZ5lfIql3MV+z
KfMs5xpwT9crTSzoOK3/J4fzvApLJz84k6CiyZuR5HCZLoEDTLlvZraUbpMHqdmu/6+0Gvff1YLH
bc9i0/8Wn/4lN/3vv/x/Q4t67tSdbwLN0ui7WtSuvxF+L9+zNn7/GL5/r37tHf78736OCZe0rkUW
7kmHGK/fu4W8E4juXJp4TnAGkPzXmNBiTAi3GYyIC8NZLvGUTOV0/B//xphQWgsbBPcYStVFbfpf
atyfMj9u3l/X+y9kfw5q2l+mhDIgbBO+qmda4IZ9po+LbuoXPZdQQxg3Tulu5FAcgwJE9oA3ISqa
N93i+MRgBo6AY2/adPw2om6NzOopDkFoqLZ/cYb0tasafJbztB/jvjtQet6mHJ3WfIsFHWEkmxr+
zboR+Yv2OXKZQfYCZpZCfFoqfxw4nazWJIoTUJXe/PI0/sW3+50Jfv5yvkOgmen4DmkS7qcvl7Lc
6nkikWcs0g3McVAXP8qmuiWE9K+X/397Hz9/ksuTFMiWFzIzZsDgkyyOhqfl9UXhEkeJLwp0cApZ
caLbYVXR5s9fyvlMhpHuovhHVczIj/+zF5HwL48Mr8dQsOIYm1L237yQiBavKJ/1VDIACSyyYBS9
U9kDXaxZwby+a9cmiwu8wzrGCj7ow9xVezcBjcaiXpbFlSHseSNE8xIZw0lJ792ONy6DkY2Q6msz
FtOa4ykZJmXNWhShuxcJGkzHxI0Cssxh8V3rHpyoaybDJg6nd9nPr3WdvDk1B5c8gyP453vwN7Eq
X5792BRMyQVT7kUk/us9CDkU9pNjBBvl+/s4JZmiGOt1FWt4deE+UC9VITE09KiFkO4ujna3Lz5I
4fj+5ws5f9D/6rZDk3XRyzq2w+bhwrkmi++3C5nicYyKiP5TrhmVWnWNWcfwXvyoXehx+TcYqCc3
xe2S56emA0wppju0e94eIXW+KgL7DqbsQzpSpoh6jxvofU6jt2KCo5eL+3+42L9JAphMsAixzTKM
ECwhv18scbG+kYHx2JrmnK7pOx49c3h0e/OhNiSRlslj26mLNJCHGfhVUptPsGBIAXOJ+cQK2swp
B4oZWJwF3oZkiVjKRziq7urP1/m3p4v6OBA+MxYwPEgkzmykX95wRrueTBLPILUsfwAMSgZJQRuP
8fjNsKgKODkvch0APFK7nBTmt76eH6ai2XbMeP98Mcs9+fUBf7qWz8JRU1ZWnntw6kICNcbKpDiw
mE/SSPPtffuPH3dekz5/HugpbAM8KeDwn14oz1mIEjkpBY7mONNFdKV9jRS9GHgr3Acryu2dPxVq
0ysjXteFl9zKeLpAqfHmTQ4dUOh722go0OEH5csilI6ILSzS9nFOMNraMWJ3AJXjLhTJXVCYHecW
9HPOfIl3yT2kEhdlRXbTGoYUNFRlbeF2npDBYFkqBdl+bn2Z10a0C7HcrCpE6RDRzGnLNIN2awG9
3W4iZ6ud+fbPD+L3JfYsSWc7YLjGXoVCfXFZ/PqTpx2Yt0rzIGb8D7Mb7dLqekx9YjL+QSxs//1n
QosZezZ+Jj4ICP/vnyRmJgQM1OOtk3Ju7rPvpSCQ1vWBV89LlkTQxs9MUh7cer7Q3XTvTPZr6OOk
6NvwraHLVYr2g4P/qjSzAxOAR62bq1Hl+z/fkPNE7/dX5ffr/KTwMUmAijhWoz6b5eVkDbs2w1kA
n+8lZIOGYdiDwECxjvEiblf5WF41IydQv6pfIrJpgCHOZEy6LdB0UiUR3yb9VdM2xQZhaMbMww/3
US3d44wN8wkii1pXtb5mVtOvXJpeKDUYLxl25fKq8cHS7DH9kmHFAcslAWuYAE7XyZLrrDs8eOp5
1Ol7GCMXHqtheqM+fbIxiG1Aa/c/CiyrmDijBnF/HZ2Qg847Iuae/nzP/v4SUe0Id4kYx2TPDvL7
o810QLnhlMEmEuE1A1MWwX6dON4+rOzdnz/qUyLJ8sKeaw7PWURgFlKs3z+L5N66a5lZctibnWPX
zc9zUjmnqoH8Eg8W2Xs1vKRyumqjH5GXDGvltEtUFhvsoBVpqpMleSiiubWC6R8ubvnsT68Ok2t+
tQFjYOrVT694nvZwyP0MvWKRHydAJMI4zfWXf7gDnysV7oBPtuwSWWF5yNo+3YHGRgFMkASZriC1
QAJjVBVJtgmF3s9JvCiTunvGEdU707kvTK3uROts6Z8gk3BLCJcz+eF1k6DlbMdbulPxZW7gLGrI
LfiHguJfXemSBL+k8RKlFHxaXDRDwnwURKL6UrGqJDAFUgIgY8RjEXZlsg08DnjhyefE+OebtNhq
fnsSqAJsOALSE+zK4vNi05PCMyvSqjdF5T2Fg8cSw/g2UNBEbXTCzBvpev75I61/9ZkSi92igGSf
EZ+eS1BMpuvhw9iADdwjCrLgxlfjsUK0uLETSvui+xYDzK5j9z1N5Lu9TGvQP2uMhOvYUOraH8sf
Ka58S3lI1x7/fH3u3xZg36aYDihwPSYP/Io+/XKM2iICTBsbepwbjLGAYsNdmPJzYTxGbmE25yeX
l2gY7R+piI/dLN9a1Yw7+P6vTT2TFyXde+RsP8ge2RWjuYsIbYV+n9wOMttzHGerUoBhKvVNst9u
vS7a9fh/L4hl28+VOxyh48ABHcE0jx3ZVaL9PhXmYze5rxZDHky+u57EPzcKh23vYBf78x3wfj+W
sXb4tuTY4lHk8tuBO/T7HSiTBDmlFXsb2GmPdiHusMgevLI3VlU1YlAIwGi1Ir6qxoh5bsjfUaLE
5Ja3W+Jk73Uz3CPzYjMwbB+RFmMn+Me+ZsDrwyXyauTxRQAzwHKay6hdyL4Ti3cNxJ9BjEUcYgYD
yB2wDIbvvlAMNCL/oXdAG9rJlRURTpXbF1B1r/sURtpg0tdBNPURLygMetsEVSSbngu1zALy4Xg5
pulllgOSGGvx3mu9MRwHx1w57LWWV3D39jVnkO0IznixAsw7t4QlMTr1VhmmtTKX2ZMuRqDZGche
t107o6TLY1pHW1TfBvDwKn/xyI9N9Pd/eBSff58+6ROLM46jHeqdzytDJ8uw9GoQyo69rueD8A69
wni1stTPSvOnqfbncfWvw/mvjY7fhFiPquB/n3sjv/0r/z81UBal0y+3+28NlKv3j3h6/x+3zfvH
9zb+rYfy13/6U3Fl/zstEo69FmpmBLU+P4fhe6v/499AtdJWW8pl/GjYdVnJfrZQbPnvZ1E2ywi1
IlscF/KzhWJbiLGkzd4HOOTcevk/aaEsRt9P7whRahI1mM2qRWHqiKXq+OW8khDnMs5M53Zj3sXu
xmyieG+1TXyDepBuidDWs08iZ76mjZtfJs40WEfEVKD5mU4+lK6d3DR1j4+vHjBAsEWSjVfqoNqH
CpHAZYhkP36K2CQmcD7Kf+IAaaMPte3NaDjmqjXz+xrs2RdP4Nqn8djfVKX5NKPjZb0oh8dEVMVj
NJflR4e/+aYhZuhgM7g5SoKfL5qo6G6LbMxxy3piVOs21wUuh9iY19rGnBCLCVdjqdGP0UIazHXT
+dNd0IU9FL9E5gq5dH1fjrKY7/Fz0D6W8Vw8VDj8+01KIgm+LAVWb3YHC02RmQPF55Aa9xd2hIpr
5fRh9WEYfgfNsi6xrDgFcs1LBBBBAIre9kgKGly7uZumrPpwG1cl+ygYs/7JsKLggzn0+HW2BmUd
7Caoi632kO1G6WDIXRIEDRGhZMAWN8L3yuE4G6L/QQQsU/sR1fEbEEbrUUm7WDmU7ne2O4k98aYX
MZp6/M1GXJl7mLPyKy56t79wEB3Qww4bnCN5LE0QLCNJ7rJvFLEZkZus0fGiAEHd+ei2Knll5h99
dLVBDqnZetec15iVtn6tt2E8RO5aFNVwonjS+5LNxF8tvMk9d8W11hoXLCylukc8kVSsPT0EoghP
9KWTG0X2NvNy3MPONRDPMjI+GlD4IeLkNhk7EaG2eD4wVpkMS9dVh0kojyRdbgeFsHAze0mHGLxz
qhIhSNm3ruBtocWTRfiZFN7xJEoffIx8q5YoEIJn+N6dH0qCf2cst5E7qndTjSEC/s75EeWF/+w2
BS+5BdnfeYsrDwEPeqc1M6ivDhv6Koh645COItoAtkj2JqGO8UYXQXKSurhfwAwMfZr4UohJ3C0N
jNemyZOraCBqeUuGSryvted/awqQsOvMNPIXhOi4WQxbjHol0bJFFI42CLbOLOOMgWE+omKKSaA9
tiXZ8p4/k0k8wR+5REZHykJZ3vv0EbaJsly6L6m2V6iyH3PX7V8b1yvXZtXzvtMTFfG679vM38GH
8tFrhMX8DjW4i587U8WAw8k/5cgdYxdnaGYMw4UJ+6pfDd1MMLEqTDIQLdtnaAO/Kn5phwTxEXxV
tF8odIiAqon+DjZxNtQ4sHzbiXeAuuyacmuwyLxMLA+7ViNfHVCuaF/8yDPCfVh07jPsudq4Fm6L
JR/KbNztGHJaYuMSnTGt6d46grSfcTI36ciDXtnEIGT81u2oHK/d2ou6q7D3B1DtzC7hJgf8W/ex
PxAvNnn0C581b5e/MpHJ0DWIDJ859RCb1bqc0FCtKpA7B+CE+pFsaHHhiyCqH7JWTT7CQR2k34d+
qi57Bm/8sGkqwsmcrfyJgTchR65Ks+/5oIMGm0rYYP7OamA6kfBATJIcjnO69Q0cE8BkceYWc/6D
MU+9LqQzRFtgYFl7wZs5Qk1KbEqHoHHvmj4pr8tSiA9pjKV9oFsbJMfOFc1XJ8gb+JhxVi9YQ3RO
Cf+IRWK0v5TStb7ULkAf4CeWu2MgGx2EWdVUvCgVEG4n4JdniN0oN0SR9qssBmO8YoH02nWXdrVa
8xWLjZVUwFKy2AFCmI8ZXdkUd+drz4z8qs9E+Yz9f0LOIYbpukPUcSTCORhXDYXdlnUoMmCJBcOB
sflw1Qd1cAvzCdeOn8bBLjXkeCfGDsFKzPEAvlMMZUgLEC2kmqmLsLYDzuVIay+sekpOWg8L8Qwd
rFXaznOh5bBjeDyt5jKQF10yRJqZqPCL7WiY5tcx4gzuGPaYMvU3lsQKUCx7c+qCS6KdjHVptGTH
ZBwPVrFbVjcG6o93EwvpW8J59qmNrexCdj0uhqYP79ktE39fW177qKx0/FrrxP2wA3zuQ1MMu16U
DwHL0rgaai9ot3GvHtLOHdNVO8fVsa4zVl7fgklpFSDQwAtAmilLwguEq3tnLdD6xzufYNuG7Gb5
Gnklj7Vry/aUyQmjZs/Mq0w4TNIoMRcJTvHmeQVUaYVpCm+x3TnbvM/9TW7n6oCWVjEpT4dr0daO
Wmh2DOUmiy+M6sP6XgFIv+wA+Mdru0RWcwkXea42bTOrL3U+5B68YNKrV2VfuRckW/Un6O3gMxXS
bwE7RydvAr3jXY887yqts+CmbEDKwYHzv7E1N5czIUCvaS/gXBGPXB3hBUWnwlpUqjWUpnvhjM19
kdiLatXtgxuuBSXtEJhPGXZYzF1YJe9tD5cDetQKbqf0dlAxvkvfzr9IEKvbISwSfc3TK19NVCh0
nLWxTxvNkNlGQJ2o6qOHPHUbB7N/TeUyIpArixckYeQ0B0ZCkqhCbltaXcOAWfX83rzR2VhmIu/M
avGpFF0w3VmdMVcPxDoYR9tVzZttlbxgEaEeGElVXfiboVH4sH3Z6q+y7t231q/6uzEPAPdAsste
1BBF0c3k6pwfY+qWX9XQ6m+kGkKYaEeFJ6uFn5tyV4mS4eDWe3Dup7Zkfck9mCSaMLxQ0B9dMfJE
psuftmQlGp7XbxqVEOwIAjUmiUWLOze1kT8OLSszD9eCPtaWeqs1QGM0lIjhKwozRO3As/fTPOgf
QgWcJbOevzaduPshBt1fAIauLqH3ekeBc+UuU4oIp5bg3ngj8j79kjM23sdk2Z2SODT3pgzlMWg8
/iBcM7Bx6THH60C2bDYTN4fowqznCvuYfxgoakEypIo23VWTM7/XQZm623rERI1tNvym29FzcWz1
ZcQv1q3Rn45TnN2izWtOPHhEfjb/eUm3uAKujBmtvKnpMt9TmMabMYnIhHMTP6qY1+Vow/kzo70d
pOotyLqC35tTDjs8Twk28qyvEE3X1WuptIzWuNTK92wS5HEgWn134E5u+xChDAWeEZ5IFrMWzInI
LjwuaQuraZ7WqW+qZ+1H9TfoaQSqoEUT1wnyXANmjZKQ2afxsmmr8lEFHdfWNEpcE5jbJ8wJUZKX
9UyH2XYjdcuqj+G88YL5QLGDaJImTfQF3PCy7gwsk61NooAsAgt3PuKVDNl9SjCTM071m5+kbDVk
Dsw3TVELd1N1Y/eutRJbL05bvM11lt04CLmI+QKGgDSQeHXkdzncRN1Y2Hla35y/RAQEPiLPyfw1
J4H5GvWUeSiXRN8NPS/3xQxEHz9kJAPc1i4wBgS7jv+hqS01GhhzCnHlj+5tGU3iGOcqROOBQOHg
KMcgT8aLcSZF3LODmQT9nqhKKBLCajzCKFOyW/xysB8YtlYbYuq7p3jWCVEptn87TNESvCnq9i63
teh3ZjAL9NlE2gPy1r2cMExF8qGXQXKTks9Kkedn041w6uwbxjvnHjUt4nfpoBBBdiLQPPTC+GDF
Q6yTtxLDhJ9+96ax2lAKiS+Y6pS1I41V3pvdIN8UaVjYJ2IH7Htt0yShIxwcY6m81wzg2G1hNsZX
hf7iwZzQ2p3sVhenEq3yj8A3k+pyRlcTrmbCwz7AzemneRhBrcx5f/KIRYRa6MUmLQ7iAsqdJDth
2iQlq9Chrgt5QNpqfJHRlPdoxqp2j99FnwrEImuSWk1zXYvK2VpTB6KoxExyBIo0xKQl9dPz7OOY
VXFKr9ybPHznYGJHFEaquqRl7JGMFCXNdiij5ARqGnVv0b2MJryQEEkaOOmJphVhY2+hQtLH1lQd
xxhfWdJUS6Rs5N4lWO62YrIhsyXToFYmi9fKMeInO7P8ldvY4AW1whfYBj+UBxtGOs3FGIXRtvZ1
vnOZyu39IVagr6fwe2hU7Y1rK9a/KTDSVTNyOsR3gplGo/GkREDQP/byOgqUuh1LEV/UadXusL+U
B6sdslMded23IdPVHYGjzC+wmCDjJ4T90WXv20l/aA9DjvqJcqZdqyC+T0qW5rbjQqcZHvqAuGXl
9So8VaJP9lXQMC2OuvaysyN2akIP0eEO3zg9aFqGPg4idmLsC+WAbqXG94cYF78DOWX+G2YhEOVl
LfVx4AVZG6CnTk1ta4rFLD2S0da/40D5mCuD2irHNM92ymmswjZxIaemOU6GPQNyi+jpkWGEZpbZ
0RXpeOUWqi3paEDJV02EhzEB8X+nCxNlbD2OAE9rjCskkuCcNao63fiiMW8EdPh1bqTy0lHhI6/9
HRShUz92TzD43FsaqYgJAUGDakTTBsYnWPE4e2xDEYO1ek7jqxgAf7ZOpy5/Us4YP5sR4k9On2jl
g7L+ApV8fE+qbLxFFr9kfOLHuppADxykPbgXKmSUuzfH1mV5S8f5lSnZTVa1zU2GKXUftvrQ0cej
AuzQSqIK74BONuG6zIR4AbXXf63m9qrAAnNq85SkV2RoM0uME321g9AERziOa78b1W7qJmw32phP
PRHEi4O2eyBalX3Or+E+cFTe1XmEeM5tDHiUc2FfoxYYHrVHbY7NGOhuR4ceapEvjtqy+20JW2SF
lL/96pdJtMsDbzyJIBwewkjknHO0uYPdwu6G6wSemCWf/bJGEV1iIus3fdPP5pZq5JYeoldv0R2j
BlYdbIXaqPHoqKwr9Rqkm2YLt+oYEbSLkUEbDlLoguJpExtozRnfau/Ri0bwkZZdlpxMNB1tzW7y
0djGAOMFrvwhnZMStkdDe6Jz7DyE95NW0W2RVuZTiP2L8hvfmEod+82ODXljp7n10aaGslaZmxdY
l3kOFx2nm530cg4S3jwmT1k9DmJl+JWdPFRVW5JwGNX+FsiQJpIzr+eXPq7EhUcH6GLE3MN5YXTK
W4sOqzwsDZL3SBgW0q8ZE6rbj5LkVFezh+lSGw9WO8FfHaC6sb9UD3Hu6XdUciwArVUcbJG8NamK
T07b6nKbL7hVwv8gGbFFWhuoAOKR5GqNHRx271U0ThatVbTizdZu7dnba8AAxs4ByapX/lCU/hNe
LtvcV+yazqoN86VkjC4HcBbJ0KTcCB10M45YE6162gfmj4oo4Wt/dsNncyxImosJLCE0R3vpS1Im
8KKioMQ3S0ImgW70to+GlzrFI2m18wOu4l5eFiPwwpMiuHrczPEEvnIwhvVEV2KvHe81KGrQacwp
gRXRnPNYkRLoRMiC5isOnQ2hkOxYu2HAtZVFsNM4mhmPUFL9S2LA2zUlJPKGjjxvfnJJc82SL91T
3RXpDRYi91uedv4znRlQ2uxHVNKV2JdZXl1jyKm/kUwKowi7onM5Yk3ZWUGcf6RGZYSH2k8TMJdx
kzXQLR30jRk5voKKj4YBVF27IeChGoSF+Lsarpg4tMuxsIvoR+Q1Mm5/rLQLZKTsBtr+0RK9gNDU
PEHjxmqfuCM/9zaNAcmFZoGJpOUklu4Kb/LJcvV6c9NkAjiKi3fsxQnrpVRmSsKe0+b5Y0Y7UKxD
OpY3JccX/m4BrZ+8T17MFft0Jo+1KNz3yIAI1ZDYMa4zMoOpcNiiJuaF1QrX/ngcgmrxWFvVsyws
/2WWJSiFqImRj/qA62GXuH5LrkM7IVvQlLBJjoyaSjzf9XMFbyKcupbjHXpcBDypRk5OTmz05tZT
tS9lJ6/zkKxzDl0gQXfa67yNSHzEn/Q/DCbVaBqkm+MjSqh5XtIWrurekh1ggVo6twVDlkNeAAng
DXby+9LI6wO08rpZxw1njzXjVlI+rEaiE08xRIFsIIJ3UzgI27d9oYhyCMmVROE/6LCoEMc0YYch
x0r3yPBhjIZErb/2kgMW38Rvn7rJA3YhuzHgW3tyjshLQKUOE2iigdZnVMldHluPvufH/dbVvqRO
yCLnJFuylFaR6NN3G44EfYtkNKwdRizi7Yve1c0x8Bgip2Q5OuhBUon2IRpJN1u55hi9MDJq90Vp
yyMNES/ZgX4u93Rr84+yLuwr7FAYWvLsDDZovUbeJF2ksXyK9LkeTOJouimUfE0mTeAaDQ/Vb+J2
QJcGXhVQyCHgKd2gVl51fRQ8AtLhND/aLD+TtP6TvTNbjhy5tuyv3B+ADHDMrzEHyeA85guMTDIx
D+6AAw58fa8oldSpLKnKZNZPbddkpZeqzAgEAPfj5+y9dvGBlwG8hRZCiivWCTTAqe10PKAlAfTH
yEjV7NMoHvEs1aNeGOuZ8LuCWvBUIffmMJbXPNSloKW3yoeQFIQsoPfIWcAqSaJQCEva1nHTd1TR
4SXjLHqloCqia7RTMHgRzUoW7CKFeIwZD/dVCfXX3vgNIN111Tg0bIJMSxtN0dhdM/Y+W2HJwH4L
kgJNCY6KN94kJa6UDSU27dJeXwEwwzI4WSHjH8vt08/EyYtsZ8Q5sDRJGkui0ZasK6YxVf2EORix
RNwu8HP1IIP1xDbprSyCIPdeAAbaEr0PrqKz56u5sdCLcYq00nWnjEy3S9VWxVYA5L4TAPQ6sGKy
URyZICRJlIx6O+ZecpoMAMS1GoplK+0C3scEQIAF1T6nzLCqujhXa7ODVm3rq3nyUfJY6N2XdTV3
9NFyZdNM6sOAdWDJ4ui6Xwg8h31S1hzBzoFHSUHY8CpyKxVg9UthvdhTSrNobvnCqWX65NTrhoFs
VTs/xtKK7hUjXDqPRUDilNVCvrQzkrN5jasO4nHVqWbbs2yS/TZI6w61+hI9ixySdBqMOQeYYpBs
Ls5o7TjWe4Ae4U18gxuOtbHIRX5PF9cDSt34cpNNYX5fVtF8YIKajTt8AuFzl+vucpnH9LmoMyrp
JuqK20pWr53lJts2D0PIbWwi2+Qs+E7lAEtam6R5Z6BjfbZ5Nz8WeBXQm7eGWX/IsjuT2c0EZ2Ui
4lg5Q5roAMqFXnY5xt8p5tSHXUT102IbDOIQ6Poth7XsAjB7HK2H9nxFWP5cZO7nKJes8r4cSyLQ
SWZ3Z2goXNLS8QAs+/q2h0OKW6NuXZDM4bQcUOOm94OcuvtkgQNCQClKWmJWxYOSPWv2sOCGIg/P
MZeZ1N1uob+S7pYphMdXWz2dKKcjkHOXeNrNDxGPLyGz7ejSt8yziTRth0zQHWZb/GXdWX186HHa
MZ7JhsiDjSOc4zBnD5n0AkjZzvxuJ/nWtSBXdTZKy0hikvrOQEZyEpDilZrM+OxtRRY8lBxNVmNb
RoCgVZA+gvKKHqlF02Vtx1lorW1GURZlm5QvuI3bH7GgcmbyQh9gHfV2/SX6IirXcH9Iog4MzX7Y
MXJN7iaCu5qFnopSBfXflVT/ryev/99RMgBOnZU//xmBdfOZI3D/eS77+x/5fS4bEpTJ7NWLAvsf
Cva/z2Uj52+ezf98x/Y4rHsBgpp/DGaBZKBzYfoa2kAvkE3/czDrhH9jhuugiI+dv6M1/pvBLEKJ
X+eyEXa4CCsJ+m/4UWea87/MZcdARh78vl1XtSBj2tqvEEnQ6j5locrwbqGMBBuRbOOawPmtIAX8
ygmaaocYSF6WBTiFxNg1wW9uHuNz7lLCtAU1CJzVKVR70fgI+5w8C1cx6942pW3oAMqY1AXbrXxd
cr9CDtFWx9wFaFuXhTroehy24zkGmENrc5N7oTcAGx7GeOO7HqVDzR5IvMXsUfUJT6nmKKLKu8xR
MUPn6byeZcy1TsSwlZJRBZIcZMTG+krAFhOjPTnxRx4r5l42WcekzOcXBDiee7Pl0l5FuLRfeuZL
ZkunhI5B2fEaEmkHD3QjXLzONFOK52Ko3qbFzk+5yh/xlGN2TusRcnOg3oNgyQBMgtfBVBk8BItX
ney8EHszWnCrCFSgFGuy4zhbFucVGwS9qnZgHJZtzE+3JS83Y0tSyYoh3XSvGk72ZRydotZUlyId
cgSr5adIOyALARY/zpLFscGBvyWrbP5mlja4ysB+ERRig31c50FJ+kuBEeCibPOCiDrbpdPc6y4z
q7byo0trSMEh8qORfllVjkM310zs4HUWErqXwggO5t7cx2NVxUfOqTh2bAqJm5IuIY3MWvTvuGUn
eZwYKVwGKd7xFTjf5IbeFWc/8JYj+GNFeMvlhFqY0ySWJ/b9kChofKxpfNuPKUEVwRB60a6ZgeP3
hgiApIPIhJY4ktiyabTmeIAohRFfFvRqenGdA6f6Zo1a7JJ+avYNR83zJY2M+9M4euqG3t/6Q2Su
yr4ebwYnxP2moC/NK89EhFaA2hwfIodWFknJrnjR/hQ8t52jpnU3KecuJiTyJhBI4ze+StoD6oDq
AOtlwpChaYQNNtwW2FjFXY9Jiz0ACiNb8jxz4uOSxp2unJZGVnXuNhA9fp9BmjoAS7IPAaXpjooO
3AQ9YxQzXdieGLQMSLEehMoxkkwjkQTZcztJwurKebzWA7+xw8zijapK3/qtGumXYSKOVHMzGOfa
nWdnU2KRBzxWnds+Fj8Zlv61YkR0ikEQMDr3/YG3eja0vpTCwkKlRXxPp4Rathq22bK2OsN0FFba
V1gkbxwL1BXHz+YE1MYQUsv0H/JuKA8avBgMNtNeNEsf9Su23OSm6ImnYMqTNJc6txQ5KpOTk7Vh
5+Fdk1f9s0P22kB3pwpPMDLUqxFew1RQdZREIbX1pd8l2hyniCqfVnYa5Ft7dKP5m4cbz31AGjCd
neTtZ4Wrmxa7I/EFXkU8+zHnSLZD58UCXmmOWXGu/aG3RKikXK+0v7sB/O2rpqUbt/FnNn+8/mXM
DDok3g/fYO6ubWecnyCqORtfDyTSCQMBPQPbswdWVRImB+SKM5pmmQZ67drlNvR19ZLnZtrrmHp2
zWL/rGWMh9od+muCKZsnIBQEp6NGoEMRVcb+DDGo73siWU5krYDnyqxkNw4FQFpIYu5N65j5o8G9
94Y9rVqHavAPhreIFbZL6QUMgItzQSuisuHXwpf3ZPuZjkN7h8c7+Sqsfj6UnIU+1WToMQmbv9hJ
SHLYgt70zN6krt8/5hZENQx2fZQiiiE65H7uZTgiJiWmboemawEXyshngzUcGV9OQGFwSIRBFVtr
BPQngDadONacmGr452fQglOmyyNDyrNaJCPWbXWG/2fIFD2KZeE36UgVE5cnw/CJ7SV1d52TMbRa
NHJfGJztfuZ4QC3Uciur9Kbq6+pKRSDpLM8YxNQezQSXjWcFeqO70EFBG0XHwbSfjamh16rpiTl0
Sh86JsBi8UT3TSsuZ61KXolVPxmSgkMt3csUQc2yw39zpsxVXVgcyrSZ6jVJ9fN3qBp4UsZyjj8y
aTEb6QpyN1ddSGQIGhy7ifccaFHg2fVMIJ2X+x6591lb3fdh2IttXRVhdgkcOcs3gdYpfU4W+Pwm
bG3F+S6bcJEgozxOnfCmU+W1gIb9gLegt+rLlrgXzuBxhO2goPWINxFb2JQN96HRw66vIAXLYbn3
xjA6Yw4T/WCbkhMArQi0AUOhoO3WzRj2K7GUwbtKZ7valJ0JXpT2dbz2gq6AQTssY7bVwNyDVU8W
1cKaDZHWnqf5C3Sj/eQzYX8YOP+Xm3achwdAYjFIek6uIBq8e6eX3gv5vvUlC7Z30ftAjvxCpZtp
mk8LHnazBs3DSckvmd0uF2LghaX/Wy2fddVCadfuOdxSLH1wnm7V0AwYj3LCZjyh5l2vJqvZe5Xn
/qBwmvWus6J6vnNTO3vyM5J/+dvt6LJ0QBnvSah0nwpTsN5hCRiYjrdnBShTq+HGAiuSANIV8UtX
xfXBYTjY0pC0kfTTOIR5lVgJYYVBRr22Iu6q9Dd92XOjcw/x0E2PixdWPTxw+ralfaMKsHaoAjSN
RjXODTUEyKgN8g/9JuumvtFisTZtmoAxSFO/f+gXz3oHiOqLNYSfEBRkStPftmu0CVklpFwLck9v
uGp5kWTkhB6CzkaXUGbwn/oqs+n+pFOK/RctX3ho5wG1idJuiKMY/wDHJztjwQ4Wx6JbN9TTKTR2
BxahGRh7p77TfToIikvQtmN70WfS7dbeJL9HCLcPnVzC79obFxQUJoksFG2W36/ZmZZt18qCyqGw
0zcf48GVbxfji5VXNDqgyRSn0Wmfokn6AhFWnjpbIuH9y1r1xbaox0IzFmo+bU8QRz4l6nVp2vYI
HYV7PupAX5uywwJNNg30iZbWZa0LehhVwIhtR2yqvC1yhGsrKwHUsqqIA6XxK+lC5LpUcMDQNJLt
4YtzxnfNEBSUa5FuLQKjLi0vSp80WV1fRLW4vNLjVLV41FtCk/Ol4dHDkwZtYVCdZFWmp7ySPYe5
0HGDeJOIol6PWifPIz2ZlSTJY6+Cs/KJ5joZb6AecQrvKUgPJTCBfoWOuNl5My5Nhp0gi0qDcQwu
fLuiIextUbWxBOZ1Ccopj8utlw5mzb7PelLyVF6kkZschrTqrloSyx+ZDUzril7ahlRFQ8prUFXr
XtnyI0U9hsImy9zvpm7XKLS2Sdkub7hNv0ZIHTRS7PTQJ2KEEjbTWWPOEvm/jYyZhCWI2mkiZct+
njMxQ0pS9qvjsRu9ZLK1gMoZ1791Ryi1AF1ocLuKeNtDOnTQ0SfmzATxxk350aU+TkJ0PlAhvZaO
XBBlFiPkNu4Oiu1iDfdsOZqcENM2zqfnZEDI5U+VmGDGUGVaWXM5Coa2KznQmz1YfR2h7mkadB3E
Lk+PTL+YW/mA0fduWNYf+AvVq0Cj7W9q2ilfyjsDvdGH83ebSN2xAtlirW23Q3VQtv2t3U3xlWc7
KIUEnanbEn3RA6YpApKSgMY0Y9ZGfgvyEMp3D/LM2VCgzW8R7eTvOg15O8KBIcslLx6FYd5k7Xsc
6P6RNEf3Cq+fAP3t9E+RG9GycjuNjglM3cw+y4B6PeZWvGfaaA48PcCqwBvpT4/k2/zQLvAd0PTX
KUttSO8PeC9RAvbsMgkv+sFCeibgE1a1lzKfCNNXHM4B0U2AeFaVrs6TjNYdhjUlm/MeR72+cIIp
PU2ihhw1R+cSbITtBYBmEYriwMWGR03YEzA191e0Lxk7StRm1moRiR3vs8arv1gkivdimsJTFdkF
3D0jmy2/GbPZMcrJE0MEAaYzb5Jk4yTtM3j/8ZKXlbR7Bg2gxV3nwnGRJkb0hBmn62nLqkpaRQiL
cYOALCHcIjjrgtJlTp+KtIo/07jj1VZAjj+M9osr1fkQscI8MjUmMeV8wNUlM9LOUFBYpUDWwblx
QlKFV8pcqgSQh1zKYgsMtbpxi6W5bcOgEFhL02ANgpWFpWuJKMOttfZZJN/jyg7PVHv/G2zj5cNU
EgNgF83pmc1afHSiJdnZVOkDnevyVSS1/YD4i/NfyB5yPXZdMu3R6fRMJELIfmteLKJ5CUuHuZ8r
dSl4LbaGTAp0gNZhiigKmuYBMUpFrA/XfYfLHJmj17nAcNFiX85pU9VrDUgHWZibHcxCcbFRQQUn
gjlD9hm4HcUiYsqt9MN6jwhuSXc+wZ+XKSOkW0hM2bHiBjwinqgeWC/kVepyGVRGmPHGEjrhMLHh
zjT+HsUEppkbmnD8egsLVlsTe+mDbJenn9ofv0v0/6fRTPHyZujRl//aUcAvhW0sDGLCT87W0H/t
KNAVlbXbDcue2PrijqTG4drLzoGXhLVcQAoJ9845NPXPP/RXuw7sANigZzMIinbh/JZt8pO8XORO
uyRhafZTllZXVBnDLVJhHEJ2AX9jUXrHkSw49tMk/8L8cBau/2xOOn8ybRM0wlhS4vg3o85Pn9z5
/hQCOVv2QIxdSp0QG7lpA+uSCMRyWVVx0nz+dq3/24r7i9wzAR2C9tV/bsXd6k9MV19Kzf/Sjvv7
H/unTUIAnj033oB1AZ7nQfrdJuH/DdPj2V72O5Kef/N7O84hxdgTGCKRBAdxJDyaZL/7JBz7b2dT
BT1ClxE6LeD/KpD4/Gr8y7PEyo+Hw2ZLOo9ho18sh/8XeEyE6VsCSLOPKBHSVDOeATy+KqU2uzQO
r7rG/f7TL/Vv3to/PMa/fPQvRllROGFZ2j2oIK88Jz8wW82K5dCVycckGWf++aeJ85X8fKVnw6MD
/9/14Sp4Qpzf55/emiIZC3zpzYyHsPTIK0yGdUxzaGMiQTpY373aaVHsudNyW1U62sbhCLO8s/0N
CM9XYhIRWCznYUZ5i7j45Bdm7WoCigY7eZHEcPBTQcTM2+LScZt+++ffHjjJH74+5tgo8oFM+IIH
6pc1DsIR4yEMCFu/HDCdQSrsV4hCcD2M3rmuWnxkeHO0WeiP3RIzkD94iX8jzHm2JtijbS1fy4XO
BZq1N8trrjLX29MG+EhDpmloqY5AQqhRoUmuRA1MuzknQaZTtA/ajHFVNMtjKoX9CPYRtlZSqQOm
hg3zHQQVd3Nrr4ss345+du/5xSGdpw9mjKtyysCh1huTjMM6zcs7opHvu2rGpf05n2OWEc1/M7lZ
9uFMODF1c0g+XUxJ7hDsE0daH0UWNPu+D6qNH3ExpnGfPeW4e1GJ9DEo7Tumx3QQYz7ZlWN1JdBL
vBf1QNh7XNB1yAY2SjwHKw9JE9RN1Ogbz9H5zaxCUCpwyA92WLLLhRzHwCvHFx6pzwAFWUq9uOhv
pzHxiJLsGbf2bfTNtUUIhjJvbyJgbZSn5/4zfTZkWEm89adMfHT+Mn51erAvRudyEtl0PdkL8zw7
IqEFDm+78wOxXDSaj7BhVnpj4+ysJuw+87z4zNM2OE4cxJHQMJ3yAufO6jtF8zkjHqt6I9HzQhIZ
m45wWkJujd/PCskYf6ArEg7xdVJs2B/kiQPY1uj2May433/+QIpzl/7n14lSgzZK4ILJoRwMf+Wd
xGnrSCZyzlZXVYM5xV/aZo0THYcHg6+OToXvPua5APOYaetblvjnDu95UJ3kkpZ36D4ZMa6Xc8tu
0jr6MlCuH1xSWfa9n/TrIO7te+T65UsvteZwmdg/fruE/93U/mJTcyEV4cj7z5vaCya+/1l9Nel7
9fOu9vuf+/uuFpOhGXjMkGCW0LD7aVeLfPan2A2wlOAB5P9Z1/8xZAr/BnQptGP2PDhJbIb/3NVw
/7FF4rUJ7fC3VU78N0OmP2wtMYMvQVHoCzBK8FX+da0PPQvFQQQ+VWW63DGRj1doanM0KsgCh2Y+
/vTz/Jud7A9oFLZozyEeMMRZDxvl14qsECZxY0rTPXl66T4VZfF19v/cjQ6HBzOP0waqdM9Zlv+K
c9E80mUrOLQ8LwqX8DQK96kck2jc/MX3+sOoje8FQCo6lx6CAvmXURsYELpJcx3tJ1F9Gxq+hwPU
nAXbP4jBu4hJUsZGR+pmkldEeswnX2n74s+/xHkb/3mhOP82yLqEDfkfJo//y3coIwm8BLXWvssN
sp2yTy4iB8Ddn3/Kv7njbOpMFilkACfE53//0+6Ojn0ssqWI9m7rH/xyegErwFJIQ2Alp376ix/2
31yT72Jx5Y77gjnrL88XUwvHhnIS7+MmDHYIGGlYwZT7i0/hpfz1l4t5I844CJys0W9ElJ+uiVgN
R05+Eu4Zg3IZ5TytQAfej3X+31ZibCYwq7Djcj1AD37hb/gWAJXfHt8EDfaqtoofU77IdYng0S3K
6//6TsUONk0KWM/HN/zLhxnttdCQPbZnpsPrCnzwiuQSxF0LDBxTBIc//7jf6rpfnj+qaAaNHisC
69Qv9yqHvLTQ9A/3kjBztPVtfDWFiX0PKzYgXIkuQ4eseZcNkzigoccwymz5I6jcZkX+kLwvILDu
3aYeN24ZJM7KxmexDtyIesTHljOIroavCI1ZHnXxGxy8jgaMY0uGEvbsG+Rg6mzoNwSYXYrgTtHs
vfvzazyfSf7wpDAVFLHAcv3H53FiOjr5cx7u0yYTxwJ3zXEefXtNafdknQNSwQ8dG5X+CN2s23qi
FI+4XKO/+Kn/3fMac2xBJxDajMV/+aVhGXsokKp4T/3sHY2XXzcQ+PC6ZsH6zy/4j5/ESZ/9Q9Du
8vmtf/kkACD9FBdxtA8ZnJAVGtGabutvDBTE9s8/iSfzj0tLjMEdk7sLlQNe4C9Li6wd1wpFH+69
eBRbHEA5th/IsVCRzH2ADXAj5PCYlqbeFnoAbw55SZKw3HTQe1szHeK+q8imDGNsk9oPHnQ++u8+
YObDFDDTX7tSzw9xP3hXwzC2lyXFOJ0XNLV4dHRhdhU8ijUyVrm261Af7XiODoyyg12smnlvyV5i
tpFi6/qQ5vgPbXqnftr6yX4a8KqmtZOcdFb4NxCTDGHKGcbddDRiwygnv0GlWrzjy6hJXYon+OW4
dmbov6t2lOGRQ034mjOUu5nglB6WHsqDlaDH8mMVXES2SE4OUU2kcWDbSzqCqiGprnus5asW6fMj
BvHuVeime4caH3HKkw29qVkymm7RZzEcoO8eN9UBRmfxYOHsvCGGKpIrE3bTplQGH6GZXPnamTE5
qTFLnjHC5QDcJVTvCd8ZMlv3rbSKl6ZCNkp3m2FuMagbN1budVhnyPTyg0v79tCMjgvAnan/veNE
IGfdLIgubc/tb5aRNidhRMG+l6rcczn01UekmUmFDKBfGIZdjG1ubLIHq/kq1jE3M8eHpVGSJByW
NTORfSWn8YuSid9kcjlhZQ26+Eo713JIMCH6riCns/X6F6dvxnNiUiE3tY8sDBK2HT9TtgFn8pt4
eELg5h21tsf1JNHIqMD3ruQYQG0CbYp3Io3ISJYLW/858axOgM3TFt+U9E5Rp8cKnSn3W8CqR91q
9f47PegJr0C8sAiNTr716CK9AX2aLyFaem9uJm0kisDBb9DB2T4t3ZLPibRNLhiLB3hj5c2KfDW8
jc9TD9L3mXjJZjXaNtGofsE1hInPEx+PRf9QeRRCZEpM3TajxLmo6YhWjkdCaeriELR1zpHBHtyk
2EeiKxaQ9nq+EmUtwVoNQbvJK2xiCF/tVYYbZC8WCpwV60H9AX4R5z3UBWsTe4po3LgO6YSX+jAm
tjkFCzagVeGlJCIQ4E2sZFmTW9ck1ygUsA67LTIe0+DNXGWTwlGaRUOQrzGvZww+rXy5Qp4ButWR
F1mMUS9F0/+A0w41TD6TORxmj8KOzTbPO4aifLfDRB71LpaYATky1dxfU2/SwPB8VAu6RCj5mrl2
mzrP6AnCS3eWX61DyEyuFYG/mZSkvkODokB15dFylFoFFk1l9EZndOHiT3sLJN9GViW/PlawU6Sb
eJ1h3DtmjYq4Vh+Ic5/X7xAu0BE2znSIoCZ8lu7iJygAp+luLOxuU3GLH5LQxXVLdsx2msdsbxl2
YUpR9X306+EOn/J8iCer3queFggBQc4usl3M2SJGIUmBaBbixROgoFsTIoVSdORXY3eRov6+5HQs
h3W9TLS/+hTDUpE8EWiDbF856Y1VzuJSqSGGKh64T2LxSc9kJknMCNZEqnKVHOCMtIesJh8T7BOv
QmSlF3npjJugozgGA00fuhtfo0j1F1FL7gK7HhHyWuuDQgl9GhAW6TWkoGXD4NtbpYFilhhaFTH0
DPogjlJ4uz7Zgq6kMQHK+kHIsD91C+FkZL7X9NEFzDQUxXuszgaJUDsdCyJEX7uUXDMO7PFTID2Y
OGoG9TmHyymNi1cNz2vf9rVZxw1n1zQAHV7f23ZZHWsMRcdJY1hO0H+kyzju6S5Z8AWC6YuEQ0Z8
ZVfWC++a5byaWLonr+pPAGCJYGVivjaTPa+FNztXjBUZ0TD5qnaqwvDmV+20az00cL0zcKBwgm61
KDXeJ7g08x2mG/hyA7pnsKc/DDPDegr9R4qkZa8lAh48s89T4Nh7hzHVdgLVcfKa4a7L1ZVbNNhR
HKtbo2aA9IQs12lb5Plc+RmslMM9WUkPcnMf9hvU0d7WQHaiIza513LSyX0DjGEbJul8WUTeyWuZ
zcSRhQHNDQy2D40RL8bUFs4OIQnzchv4MtoVU8PwODBT8NqEBOygxpjRhCSly5QzTXKSKiw4d+3c
dE/UZYRbNDlOgsBN9oiKgFyw2FzntU2AhLTiB3TJ/hsxDKPaAFJR/BrEZxiWc1kYlB66DTehxNmJ
WEqV4zZo+UVWPTD528pvCIpMWbxexkz1H0T0JbgTyc3UqFNmE+2CBuvu0C8/ZpHTMEXvtppC/Q4L
oT3y1y0rFGA0e+CirOnlSuBU6MOA3tosPte8hHK/FH2ypgdcvgnblRcCJ+HK0TTdnHmSoJzSbJfn
5cwYK+I1nrDbLYm5oZfzPIID26Sx9eRWiMJcNvlbwp6iXb8kRckE32nwvQfQLoqyr4jh8OQDNKWH
MO/loe0KDL3DYh+GHuOemcFL1nRYSKkh+5cXupH7wOehGCUwkrStAogkjrVNVG+vUI5UAHRrcauJ
KN80dta8tRHiR+n5pGjNxSUTI3glfdz+YEPKt8BMCA+BQfiEYQLXQm786UthZ/ZWrY0Aq1A9isEl
tqkZ/XmHOqY9RFVbH6GL/GiFaC8Mob8PrhPLnbLnWxSR5cW8+D4qZxeBveNY4zP87fSHv5QEPXFv
bmQ0Ewvky4SWWqzuF79Kd32dfEKh0ddOAySzyuPmIsAIBDah0OXBkAIGXobEEZ1I8hBr+06S5rPu
3Uzslmg0uyXxkSmmXtpcFD5PQmSEvXNcjVVYFMuuNTlA2TkH7zLUABzWphymtfaT9jtmjOoyabCb
7JqBXyQOimqfNCCBPdRP+CODy9LTr7MyLTRKc21wR32Cn9FXsnO7TepUxFxG4lq7bb+Nk75/d5Gu
7GsbY1rtz/uytZ4bRpM4RRA1biH1NBdtUhfbDAoZAsagfjK9Ga7jcGr3NpvgwXTpRQOW9cnrsgg4
SiQ2kvioT9lMCzs3RQHguRYBvU6nDX4obAwo3q4ZHad3jFgbpJykQCHAhKQO/rPd0MgYb02mXrqZ
pNLW0leZAFlRzxN+XdbtZWBkXWmDy9+Qsji2xK7FEB4rYuF7JpAnsSB2Enme31HY++Rm4/2YF4S9
q8aNBMC3hhAiVDZd2OC4s783QX7QkzMcK40UNMx6gS07TLeRgzwico13GOhH7ivr3J6Ft9D64Y72
MoD7rrOii7g1BbLaPDy41SNeD8yXunQ2HKEwuNK6pJQvt1Eap9sgK5J9NsZk4vD5K1X73wciy17D
GsVFR5a8Pc3BdmFqMXTyCSNVtOohaA+Wfo4IH7rNsNjy077Fg8UenVnfI8I4hVuemjx4SHGO4O9y
bnBRfqXlF2P5cS/znCDoPH0cAjyatYQ44YdXue+csM8SGxDq/gpaypXiCUJuEKMumNzoe2uIakhF
vWaXov/ajXviU+qXxf2kFVftIiGdtYO6dl1J3B/any1uYJ8/Ev8LJbpvniDUPwey4B/5XnbJN9P6
VxljW09g0EZxSVJwpYpdU2dPmYgPSEgfp6h4w1B9xA5X0YNurt2AOQ7mHBLbunHaolUFD3e2rQhL
F6Cr6V9kUhybZgIdHFT3BW/V2V38QdvhGEzzxsLQCjfIWQ0SSKossuTAHHS8aeLUv5m7sP8aEAPT
NPOPJdiAC9zDwW5MpmVfT8lH6YYczDnuPw4Y+lmNE/tsjfGD79nidLsa3nma1P5OxTZ0zbKyif0l
wpVSKpBbzyWhNqsgG/amwWPMlAAXcHNC623WfWOoVQjRW7v15O0tQnf3sIJKTvUWNQwXXIiiZCnQ
CYQFj6F+y/3m3IoYxwofoiC98dwJv71Q30YyS3qySxkZUH0iK9crP2HN71IKeje+R+t3covkBXL4
dR2gYmgM9z21YBwXYaWOWbZ0bPrNkz2gdVOjuwIM070WzgjWPETrkrcfoeW9BJU9rBfFnj13PTdN
lc8dUvJbrPf1s6EZuoIPUR3UlDoHbxHttksY3neyL97zUYMXw0fIktIWF2FjK7yFoM1lPVHbhuob
sJFxz3SAK7WLCerzeEN7f2aM5Lbbxa30j3DO3Ju8NVR3ATH0s20TzRKbYTOX9qnhzLIrOP9cTLjD
Jx3A+hDqVg0cMHxmBK9ZR7xbkyV6T4vlQeq03SWopvwxvY4oD296aemtYe3YenECqTAWJUW/4dyc
O0peL8CUUM+bcmcHHI6jRr0g30RoHLn2TmC22qbJAHJgCsyjsCBvhU1HLakmkJRt2MIEK6aLUIXV
JjDcUuHo7oC3WO/Zb+3rTpIdlrZlc1HLA8rZYhs0rTjZs6y2+NOKU+lGYHecNniOjP+VGEdshGjG
fVa59gs68eGA8c166LpRfRCIlt5i4AtOc44GqHABYnUgqvYGg+0ae39/7aN43nq0cTZhhqfBljku
sYlqHhuf04dPBAKuLVyD7s7GCIe6iB7fusK2aq901ukjalboV3b1NktKxZSO1/ckJUIol+TtZopS
aOCIvI8LckXMXFArFbY+BLLxQXEFAfHSw/ymFyjCk4L4xeu7s3tHHxOvIIik8KeNgktxm9s+QmWv
7C5CMPCbBkv+b5iXseaOL3McH7DtORBLQvg6xaTB2/T5yTNKHYkE2DbEa+5iXnTOUrW6bMEeI2pX
1JXox0/xpClwG3AsfumQN7egQ+mWUe21EcG+rgb/ks+ZtxqhzX7xxXhIyim6QLsICU23pNXlVPMc
wB6mXrg48QtnHZjh08Tu9Ip++FsTLtWJKLnkpcqXT47j6j4mPwTQrLKgvVoaMkOpxkuEkk8Y1F74
2B5GVAyRTkN5ySiHe4Sla5XQchOmz5m4SpVdC9uiN9QoELq1tukF1ZZD1zEP1imeengkbbfzszZJ
dxz6vBedKgc4Udu9jAXbNEo7HN6NHonQbjlbzUXQ3NGraJ46a4rXKs669wLn9D0UFvsWUae7zYDf
z6v/w955LUeOZNn2V/oH0AYtHm8AIRgMBrXIfHEjkyQ04NBwfP0ssOb2zcrqqbQxm5cxu28lMskI
CPfj5+y9truk7U1uBm9NUQZ39OPcENsdWClbrho+OPN94KF9k4OHTQHO0SpP37rg+y7GuaIl2gh3
22h1udeQzoWy88H4eEZ6VAmhjBunrXEIGvVEosLyfeps/RAvsXpJwL1uSIRq6XC4b95cZxQHAVJl
CxV4h0bnurBEHeajSk/uyEnLD6yMwbN+C3ZWGgjy4gYjvpWc4rHKtktdwx8Z4c1DiaWjelnMA0Y6
HHTjrcp0+33MpsY8akuu9uNEUlFouYv3gtgHhbw9ebOzxSOdftY8ZF5oSWL7TtCf1MNSBh4CBx2n
wNbXZvzcdt4WL5PrDFtNTZz0ln55wGdh7wFgszuq3I6Ymtxn7sCaGbSgWEST7DLfmCOfsIGtXpGK
mnfSeRR5dZn349kvjfZYeGCmauR/PIZokK/I0Q22GTIMvoW3dBC7KsBAPRaRJ35R+1gWVf2Sr2sn
bMYzWtp8Rzqqd3KSwCDdbMKinvl9tUZFWsfeKU2Y616tIrtuxMFwxPg4NWq5z8XYPKS5ZV/pZaBv
J80G2VRBrFEQMxB2YgE9GDKYgTJ46RA1C6xygBAGayKyRoNcz8JHmxmUYxh7k7ZNvbqxcZZrGSLR
QSBgj+mlqwZRfp6zGWy8YcB67jZdQQDXJF9dwt4Bg01e/uCx/pyH0h8+2spB8QmRqNoPXGr/xP6d
5DtIPnfC6Vi98jv4w+UeFB98NPqXGxnoCA2xY9ox6Dw6OWPYEd1F0pd2puHubVJct90oWHiZI+w0
ZyJtI5fN3hvjSKZE+wyuHQaa1kXanDtk1gVNfuXEGaLNpnvCJZwl0P2AKXSldF9djlKHYPTNsG2B
zUxBj0N86Yc7jpSC97/M9iWIie3cSD5Vn7xMit3PdEhs14xc39P6eF86076oZkBT9TI9DQpH2dRP
ezq1WDd8od90JuoQDKk6GSsaOMQUlAwUzwKuVd6g4E3v3B7Mdj2OR4GFXAt5WoBC0BVGHCuYhHeZ
+TbXpORFZQZNgxpcgYRodWQcQpf9JayNYe/BAqhZvHT/HeVksB+UKZ9pf8jbCnrkHbqO/gVlW3bN
ledcTOtuZ4ytd00tN8EFiv1dydsX6aP50SdxewgWYwa6EpPhpQeFIA4wpcKnX06oOnmRAm9Tl+rI
KJFj74a8wh4+xQ0xcDma+P4T4bsxb3VDLHrkTrjF9qWDxHXTWRIhA8AQJCg4fqAMqIFjcF5jb7vo
A0XOQgt2FI86PICl9sqr3smzx9wdxdZI/OZE2OsUCZAldJFS7bsiInQuyMorkpqfPkzdnTNJe19K
Q7+mLeLxo7uA9kVHR8/xPCwnAbVsEDYz+cPXMmeZTkwky8wsw6qtIkfa4zWxvxGQBKJWrQw8TkVm
cSs/h6V9rPo5eKzmCYBjF6vM28RVR1K3sbyU1fy8YNDa2D1S0gSupdZBIPVlH4e1StNjXNMTYqBz
ERep9tRNZPIEKb1L2u55iGI6PUoEKSV6/V1fc+pqYnQ1gN05zI42spmOhKALKlhEWmlb4izWe3bF
TQ22DRJVPQVVSEAjSaLdNMQbX0sggDBV0c51Z6l6p6NnRs/qBcm9BY+XRAVCRszMrbd9msh7wmlL
Qtt614BcWIIUCWl4uHCfBrO/6TBDwzfwLPeBZLrm0OYxh0g0qxL5o7Dbo0YMXA8ITgFo8jFsNzFt
TX3y3Be+17LrSQheBxVODa1n7K31xFLcCD0GFUZGqPWuzIaiF15HEMmgMsyQzqJ89FFQgyQY1xZy
jsr404YgSylEfso+Y4bA9ka/5NmZc+8Fr7R3YiK12tsM747Bp3fhmpb1qDsxSDXX0ZKMqtqeOtK4
uuDbqPyaQkYrqws4XL3Osw3sim4/TTu4Hrxb2SoBi3AvGR84T6zHgVf4SeiZ/My9CuJmH3TlNbwM
kxEDyE40z+ja3hvN0S/ErOaDzmTkPi3xNER5gifTZ1DxXaHwvHZkVrwV3oInJIOwB/PHfhk0C/ti
N8Tla+bgY5Glzb9XU7C6JTUOTETWYsSDle7cB7XjS3y0tvHaydg8TG0/lpvOT9ybHJf4FPpNF99o
i01vN9F2ZiLSJ70L+s+6MusnhkjiuYzLGlVYgYq648pnXE6gkVSSB1Wly7NQdfJSxSavpkpF/81s
NfeVLrD9vegUacTIXUkewvNqd5TwizV624pHBFCvTWoA8SNb+CfzJ7kSU6jRtwnRkNmbDocWYXwN
ii7NKZMLa9bVVTtNwbfMMIkx9jooB8pPjy5tZpc5Ri8JEmrF60KThRegLppvftWL40KtTVG9FO0+
pwAkXbTsEiyNzgObV/UxVkN941Yt4EqTKmjjOC2eNDhtwKG07yntnnrDHB6dO8s8WToxoJZ4dXvS
tCHDiKnE1qplecO4DLfgHNPvctKCoqQyS3mvuqkNNrkqfC4OloPQxi1/ZfZTcWFPyr+YRdIfUxuM
Y0aRhj3f6K0mRPyI9wn0bPEAV1THQJWX9RULhi8jG+TDjQnRuN5zTJ4RmJsNp2iM0lm5xQm1GgJR
ZP0g9ne6pWE93cDXa+6d0as/nGbAIqdX+XEZhPuJMNW/Er2Up9j2NNK8cBN84jGsP6BcTrhh8c5+
wzYJo6VtOw/Hi9e6kZ825FkDE7AFRk3LPfCoQsFlQPrQOY2RoRAnwnxjAxS609refoq9snyv4vbJ
COiKVmBmIwT/C/SxIjZmOu5NfrMMk3otuyDBlknvdKCegmLh0XpfDh1BVUdi47tyxzGAizzIkQJD
c+WiHzOYByCjegOsRjuL9Kzmnqgyh6kra0Rc+TsrTnqSqNm/opx+xW5aGh4dzGj4XE2QkXuzyxlE
g0fSr5BQzoytqsE8k2NIw87rexU6rhe/Dq0UeRS33YttKJlF5YrtHMu2vku4Uf4OZI792DEgVDjw
Go8wmQnldbBa9whXw8VXfDn6COPF3cfEWKkdT3PWEe/FngmmZbUEekHlfh++jIKSkv8yFtb0iAeZ
nS3AURgvGl17rTKCY+ypt5ZUhQ2T42necLTmPaFG4hswTDDwaNQNWy597Jk5jvctBsL33saToGXZ
O8RAKaQihnFyQFNgGvtyQ1pfzkhQt7O5SZ2WgYfF/3gw+nEE1qtso9rK2MIqMhhe3W/tJKV11hnZ
D9HZxYWH5dAkjbvHqOqRdYnjUDQ/WuUpdl2oApuR0Y0CsapBEZt692VpmDowxODwVraiXHN3cus9
K3r9EvVnxQGXOJW9IgVzb+UjYIusVzu3YAjEI1ldkHHEoMxjmHbjBrQzmUEO7CYkTf1YMgmPTppa
+4zpsYymkWqiTuSnNRrBpaPZwTFDbXUzLRaJXnzt7qjwZVwpBVGEWS1nfEVShKuTV8C0b8/Zpk4i
Ts3yE8urBSq8yNKbxHeuC+a+ezNu4oekLIEmmp0GlKzEQbpjbp/sqs5+dWpd3WluZv/QXFo7RqWf
FLnbgN2t7BHLXKGToF0HNH/t5gVyaHXS0E+eC1lrdzFhEL8RYqzyhz9LXgIdZ4DFxg0ZwrZX+cRP
wqEk1z0pk8Zfz/QMTzkx33ioeK+LXkILZTarX4+Glj0SRcRW+veCCfvfySWQoDAFxSeE8OYXfc9i
aq4Pu9nfKzfurwNXtoex7Zgi6IztrWnWQ8GZjME4vr73aWFLaYeh3MkxNzYDdxaGnhP6fkmzU+op
kCAGTFDsrd1EGc+82TRgck4WbZmSIAEaqM4CqM6uj5OdLVfkI0KGGRlVoLrfWSi1CNaClcS6QgXM
Xl9AnBhyc1/OubZJUQdFrmAtG9rBpkJxHuaBw4EzKeOmSd0fGWzdUPPG/oCrHZFXXXn4TROUfrjA
rN9cur9ovF2kXvRsbWwlJt1B7xelScmjxOWzqdbRUHJu0G9se1Y1HGsFawHJ0qTQZoDLZleCCkh6
9KB2QbGlClg1BtPKkkGrH5a4m/3NULrbLLDGC73ukrCetctZHzjvFpjPUyvLDlWW/y5x8Ss+6ZdH
L3AYaCELNtAz+Kty7qdHL2UvkWPQktDbSqDrVTAuBenac3K5aP2dAfAyGtmcQ/xhydEA6vTBxGu4
aCFUHHC1RI4Bk9GEuEvbA93Gb57Nv74XiDNJv8A4EaBM/eX6xisf0AA7u88NGlWMIuPgpIuq/c2v
Mf5iquA+BjaKR14Blnbjl98jGRjbnZDBnvEncDaMh7izpnaI5rlw30wO8KyROah2Q0B2Gkb3LqUI
nSMa4/klmp3gulA+hrCBl0U6mHt7a9CxeotF29qp/gC0oHv6+0tj/CppZL3WDcfRkU6CdmTh+PON
W2FUNCR49lY+fYZVD6aRB9hyk4lcbuj7209Bfl3raf2tWOieMf/Rw2QskqPChRohZlDvwL/nP3Tm
/1+k/RuRNuJlHQvIfy3Svhmq7PXtZ332f/6VP/TZnvtPNJu4i0yU2IYLZ+dfriPrn77v0GBANeKx
wf2kz7aAABkIpgPSr/Admewb3R/5tmaAPBvHGX8Rmx0K0f+WPJuT0C9vIlMn1zEtBIs2Alo6/X9+
2lb0t5tWJo2gYewOrZEPr4zE6E5jS74hR6O7nBpdRQV8K9jDfrLBgxhftLOfXQZ6ZTBadfwnv1LO
e9DqnI0pbne8iiB1p4xo6LxKaIxphFI5jjjaJSeTeF5eadUCCk0jazBpkc7lpaYVdoTVwtt4NfzL
NkihmaBVwpj+ZNb2O7Cu0EIZc6Sz1+zNsiBnE/rGvGtonIagDVMAFZ7xWDgpsuqGZLwjUrnqSuZq
ucZ8WP4Ycpwxa9DYm0px2fL7pmsZKE5hq0Z9I6HWPpm0bsJWGzHIKxKa2kDk351yKFCL8FsFSFgQ
fCiZ30ed1RzqRvxsl910oVW1FXku8pimKpFt5DXQbw4bmaEYoLf+fD1ovr+vE2eGCtrB91j1iMNN
AsXtoOVudVnH03DHYdxhxlyZySbpM/NRMYyN23m+TzMrPneJTYuL+No9IfM3UFPGx56u3EdTpO1L
6k72balTmNe6H9ykfmOFc1vLLa2C9J6wNvMiMNVT5o3NDcdfBvl541wMXOvLvhTpaUz86mmC5gTn
RLfQDRAMz6MRtk2TvU6NTM9J4kNzaFISflHTeuM9lpySWXTyIWzkIwsavLAb3ObFBboMr0PJH+4i
PlWm/CXygvk5MeUhT5zjMJj5NpWGcTv6OSxPP8tvMm8KXmx3lifqffvSKumokAhYvINt4fCdoynd
gPJ0zhyCaDgucvVRof//IZ2hgbYalxfdzNQsT9rpWOq2OE8g5Q9INODAGj5xD5VmXjXK+xDtpWG+
IKbWaYIFwT3EjfpY0HqLFoKsnI2JfHxLBz2OgcXJatlwE8obMH/5OUgW8p+1RSGZKgywoNCoYvq9
tNgXdS5UQNy9Pq4FZzNGMbOT0PIQ+g8GNwjtiBlclROgRmBzsqMJIaBUVmNPE8H9HCbbP/cD2OvG
bIKd28P8SfA6X/SUm2dsqI+xnTaIOzlTkfyKwATP1EMAQAB2V1m8uolGVmKXUhU7riZQOMFjyFpq
/mbh8LNUnDhnNdShpvQmcoda39oL8+04Vc1V6dbqYDaDty8ydHPl4l1Xc7svLUSTRMLIK+ELO3Iy
P3R6JnTwzPdLPNKMamAfiFAxBQkns35zErWHKJBegghATzHo+S3QEcQCK3M0h7JAvWvvXGCie1Ok
FWGBuv8tTzEMgHOoxlsjbaY7xLrfbLd8q5Z46yzdqau8H9lYuTeLyP2D1Fp7B81IsPisP7FsfSuc
DM76crlj+nGHoQE4R9H2EU5AdR8HiNesCfwp8mRolCmodKc+t+kyb2E6VKExuNpd7crhOaknYFNG
vuzb3NVBtQBDQd5kXMK66o+06uzt0EvvoycWcufWrnXVDhYvE17HrcDmTvPO5KrONqktKmBUPY60
GBxiOnmOKxQRao0JX+T8HJfCv7C8jN5ojg0NtyTiGk9LV3pitx9rasy8djhkGZjtLjpavXsxiOXG
jxdnF3tWtxFW7G2UUDNnZO62yonfccgs2Rgw8/d5wPxTE9THUg1YCweHjortWm+SnMmGP12rU9/q
Rljq/QzYvRbPEAWWEDAhBHdEWke9masj2FsfCWBQvUHJ7C+x06G2CXL9jpec3Mc0AWyOZw/NJoIz
69FNa49kJVXIbV7NDMqEnYDPJA/H3yapb+2yEQXgjJSUWV/5aCGn3UqV7rWC0CsuxAGZkhexYTgv
Y6XdDt10VinfXGQUN2RStKNCXkkeavZCItfCidfPYIb3/a6uibkVbREopv+OQ3M+6RCPDbz/PUSG
LkVD2FcODX+v2OY6NJ0kDkjrFeMmw087ZM4QDhasAcY0l9mCHBlm3321jPOlU7N3IwS2+3sq1nQF
H73ngA4OEzLSSIjxKqnS28xCFppnGuokf2zDtNPXTjFiCGsQcm85rOCOAXkNb1IDGxdLIlSd22T0
HjNXohcc+QF0wKR6kRnLxgZxROYcRjQHYQcZOtR7PeoK0e57fRVp6UJ9T7FZ3ukurH9+Ot4Nxqxj
/K1HnkfT/YHz6Nks422twXMui7jcQpfQN04hNEQWXXJqNR3FWZ3bF17mIpHnmz87ZWB966yMVMPG
z1f5ONMQIe/jQmv3qhmEExrjOIHTQ039Mi9efNlwxr72SiUva83rP0CjIVYnN4htEIlPkZfVrnNo
WFHPBnedy5EXFuvW1YeXwRzPIisvhylbzkYZ4zVNTLbZogoFwzbUy01a68BWWVRng+yuFWE/Wd0J
5lxY4lfcmPShNgy+sU1hFjboefRNhqocUmseGUt/0RKJPc++POEbilF/Zx9Gh5wevSB0H5A1Zntv
xVNzkv6HN1vTZ+opcW5mfGmTcMxLBy1AxeAs7d2orqf+dWEb+sgW3Y8kM/wbI08kCVDu3LC9wWx9
gOoLd1QPLPTQKi9NNANpc6tGHamFdNorjYNW5PQr4joFC/zE0pNFDaMFlO4VEw1TTXvdBEey+ITu
DODCQ4Uz5l7Lk/mi9NVS7slrEElkJd2DBKAyd41/7WvOIDewn59wnSyhrClRYl1+FHKeH2TpFSEk
EXc32AW7t2WVwS3Ix6fZG29qunI0h5MzBIudO8Ak5XDzYvQtEiTCmq0qt245X9arKwBBIMKBq0qU
WIvBSXkvmUNeVU1ZETv5jyyxsXvFmBLIVELNxZxtgANloy1fbDravFk1ETcjCwZ0oDpzVm8PCkjm
iUrT73I9+cGG9gSO771z7H0zT84Zwn2ziw07CN0MyY2jFoN9lypMJFs0oV6UuYu6kky8Q4EsKrKU
3ZxJpd4VNPaTaJrpVgSJPZxj3aZzJ5uJaSoImijj6PXA8uufFHPfdNOPmr2lhCeAzKDqtJMzOo70
EpKvFqXjZB2apdNvqeLUfZ0VRG+Ok3NjMJV1yuzdjilgy9keLgdudNgUw5VLNMpRS2pt06Hr2Tid
2UW6BCArzLSPDMuYD5Y26mHdaq+ZciVRHEVxghnCFi0adwuUjjlNhzy2XhLn1CG7vKH8bo4w7syD
JPzn2IjsstTm5humFO+JuEM/Msc0sWh+a9PaRwU6DJLiOhCGscopX/2i4vMGrWQWiEdh9twL2ijQ
x5v+pQFa2Yy1E6U4ETeqRHXao0cVuqE9O2npv1TlOngm7/CxstuodFebNR4n2kJcug94y+DfUsO9
nQAf4hurdKBDYKCObpMXh74BFMjB+mDRhuSilvGJjDR54/mrSKcuIosZ67NM+uaEcr39Vqc1DEOn
WRlXbqOx8KyJUlOO6kM0Lc9OKoiZKUU4IbvdQdQLQjSsDuqAQTxWKmlu9dj0I1TV4s5qpXUm905e
UINNd7VZVM8tXeUv8dhGcxx1Z2qIc0YO/e91aeBMS93qMwD3sp8ZVjKuoYKGDWefTMNmsrRoVfkK
cpkMvnHJQNVPvnlJxzG9j5GHprTJm/SJuEm2jEICDGWCejYKXd/TydXPBuT5aMBdAGm76y7EUhoH
3auQvNgL0UE08SLI/eW73QzBmUAE50mhqt2AfXQ3rjV034Kuie9yoFz3NdG+R8ZtKL0yIx259DSh
AVSlW94YjEXdurlWyW2X2TtEeihx4q57GhL881o3T8ie4Z65U1Od7Y7wgFJ3vO0ixMdUTS2YZbSw
u6pQlG6zJXbACvxvxtwCzatK625a3G4790ZzGXeZS/3pMpvqHec7R9Zmu5Rx8CF7YUYBB8CLhGne
tRun6Xk0kvTg2D0FuV01xxqfI7uGjZuhaqD7mOlNrk0VcDQqc9qWBkBGA7wOOUtnc2mvSz0xN/3s
0Hj0+vLoLzmMB2kGF71nWCfkBvknX7TZikB6l4QCQUYoeuJxpkJ9Iuv70SNKwlYDSlBOfgxvcjbg
oxvMTsaY9bOoxKVI4jMKZipHI7gyJf4xrNXoHHInfU41vFXTUiCyHpeQ6EfvSg5gCJ0FKSYUwBAN
1XS5HvIZelUfzST3jl8GlzWjcxTbCeNTnF1PSWIy9vJmOuYJ71xUjMhX3SapomFokZFSgoWovavH
mAJecJYbn2LdccmJ1+8zFYudLXb+JHA3N/lRlONtNrmRF08sLoqSXNd3WmyoMzD6ZtfHJgMfNV9n
dve2qpdXXV52JslhidDFQ03vye6Z6ELt2wVSBp6WShJmxYNaiJIhSeZeg+L/tiT6OWb93BaY89ba
IN1BC9a2o9TMLec8cfDBxUe5nba34ypG1xPU7SPq/a3GnOzATpEdjRHeVTOW/jX6NXvfwQ8NKye+
GhHgo01tdewl82BMG1I9CBTKM8JbjVp0zLkD89k0KZ5WWGVTZBuiEgsm9xLJBoXvIalPue+T7xaP
0wngAhmfCInG+87Jqm8lo1EXva8hfrSiWrSNSDwswnrS0NDTx+y2bA3tbrax3JQXrT0SVdMnDMwX
bjxJcHl1zvrM+M4O2J6lVnDMTVo+eJY3/oa8LwI1DS14GaxFPKFNtLfNyLllw+iF8ym6A5rFbW7s
aXT2ewDv7l1bzajme3fAmVA7d9Zs2/thNNsf2GMgqkHgT7/V6DQgvGFE6SRKLHwq7oFLE1yKxqgv
yLbzD4E5QdFzbeQJddeDFWntF87S0xNOpfIeNrp9zj2z3uM/qJeNq+PB457emqXJh2Em9RSb04cs
MnPLSSg9JhjRrpXBP4F9hw9pWSN9A2cFZkIau2a3NbZMvdEZCaSoSmkn0u9Q7BPduvMoLDaB0Wgr
OjggSY2ITcp0UkPOugy8e6+YNfjRJuPmqi5RQelbSLPgl2OHFWuM04OrGDliEWzDoK8fZjd/beWE
TjHVECem73luZxde016VYws2USH52Vjzc8fhx+cd9ixDXQ2B+l43lXZERZT8Yen9n+57/i+KnV6j
ug37b3ua/6d6fy1fq3+8Vu//OKc/6rfX9h8XXcG/dj83Ov/1k/4TRWH9M8BGjkfO0tEgfjU0cZiR
Qx2Y/8SEaxH/jPXbc74Sqv8vYMn6J/9lTZu2bdtjaPT/ep2gl5iZgS3wVmoBf+K/BVgyfoGTAWHH
Dc0n4ywQ6LjrV+/2TxMRNsUOYDadjWQqrU3m0GSQfr61QLZibmwRcxOfigcRq1WQv9VGh06s1pDH
MMRSaU14k191kaA4DcWUPo21Gn/jpjZ+6cauHxFeBoF3qAYC8NK/fER2ZYcWRNzu/VLAvsTytcWo
C3M2CU4jhgDbms9uhzQ+BsKdYxP4zeDrv/gANswOLpUHqOLP14gJpfQnG/mGiPkA1jKP4Yrs3lip
2CaNBLSIahAvR38cCFeg+OBz/NQ8v/ljQvUzQm4dif40t/q6BC7ybwMmAQTXXxFynY0KkZZWs2+H
mDRsw3sY6Pulze+4OV+cpr/+Ipdfw4Q2MK1fvirNSdT/qm72VQ2Auwert/N6+VITl7QjDCYNFflP
IXNzazNOaHxxMTAtns1bpzIqdhpfg/htidcO4fW2xYZ0Z2GQDNf3Yh84c3sxVLXat6WdbzVJEg4L
mbd1XIkqaYBxz35ABsVg3hC1SUdCcCFV435jpH6ht52P9qQRx7iim61Ri4DiWZIrJR6XiXjDpFzI
jPWdnT1PGJW6/NOwlnzbjcVbpREgCnD8vPjBx5iUd9biPf/9HfplqM0d4pXQfaZUTDNs5ot/fka8
pdKLOG2ocCzwhPTvvmWwIVE19KEwTayBtFc2XjMGu7//veYvcAV+sQ1/3/VAi5hfy8iff3HJfiI7
pJJ7v0uKLUJENgZ/6Q+mCfEjJsML3OQycrAy4dAqXuiK817o+RU3FPUOUsR4N/hdgN6Qd8pC2hQF
wvM3dTMpep9wyHzGJGxzWvU7esGvlKb1s+N4WYedOhZUpsZ//uz6ENgkNybFHtBIFSFGcy7jhMmj
NaIKn4Z6m3t9se9FX57l7F+MlnEx5fFxwHewERhX/1iA7HmHHchFiLEB/2ltAo0vTYwqR4qC3u9s
LT/+/pr/9V7biPFMRkQsSI4dsGv8vGb2ZqrpeP2L/aS1K86bRQHlY/7HhW5diV5zwMCBYM38Ddfq
lzHo1wWDtrcSVzA5OsEvr+dglgKrQYtFb+xkOCLyQ+DTd78hu/y732KZBjM4xgUWC86fv19VyNIi
/6fYJ8qr9l5LWd2KhGnfv+aB/2ZJg/LDj/nzWoOcJ2DazRia5qH5y92vyxYrRjYWWC2KT+HRrKRb
H+BWrSyymWxe8kCb2FvGvt9WxpIfS6f4NGJ7uUW7RbtjSNh3VBAakCHCssfslCyxfig6HnJ85cik
dfrHVuU/aK6mMNvQ/yOc4SKdBlKwUFJsRqMIdhqHcMLTYHOgG9vrM+sbIAozTIkvJgiIP9YljnHS
kUaB0Sl0Xg/+vt34RJotKF3NhX9q5pmY+tV2LM002KGdrjZJIO2daXZPc0/la5IRsBF99lYu6ZuT
WbelXMRRSOBPtpV9tuZQH0j4CBAwVwdtDnTE4XqwK+r0s40Fegm67ZvG8jiSjAEPnMHzXcUd8jtZ
vCE4hiCXx4/NIpfdWAQPCQ9HqPU5n9u6rdKAET8cm61l9hgQeNundfVm/N89E2xAc1drfeb/Fc5+
Blfw6jL71dAVy7KJlbuY0rcunv3IahoT/3jRhKnpfK9aPBLxUJp3+NApHhggnCGna1uvyD7RP3Ms
jXsfkTCfN+77u9bMP9yc3XOyilM8YcgecedikJfdlpBzg6z5BYd+q714Op0CWxC8GiSWHznMXcOB
sPoda1m15+z5ZtncDoDIKa08duBC9Rb2kfJEj+E+M4KHpitLXkNmHrnwkz3Fj8XGQuRhYXFrqq69
c1PSFnGyXlNg7IVXvbV6114QAbKmcBS4WWfuZokpg3lf5oZ+4e6apvjEtGtyOh0vm368XMr8s/Ag
388ITaPY5ot2U0n8l3WFcM4MfabDEbOMcy5qMzRI4EAabOc0QWAFCslzDsxW2yrypEJY3ZK5Uf6p
xRpPLHdWeRiHjZr/pTcOPmLk0hW+HBJeyg5mYfxJ4CYPAYkkeDInP6K/dqLDR3JTzk5dLOUbHcbi
eggMhryj5t93ZrEjW/QNaj0gAwV33xXeg97D8G4pT09uNlBbrTeGyuDcuW2/RYvCv63Prpp4bDi+
EHcnEDPLJH3zmf7CcrFu4Q0Fe8Ycbz7nx03OE270vBpfD2678LlFNe+INa62oOn3TKYfZEAhA9aD
E/v6CpQ8YYZh3XbIECOkojyRtsSQMq8m2XStNjR+Xl1Ka+MnPEGWwe3vdF4XWNM6ATtjcpp0DuDG
hA9f+jy0dZ++fX1wPi5VzFAtZHGypwUB3xtXRPc8BBOpH73Oei1nXjUvkZj1AuAXI/fOU4DJFyAz
hjvzmUoTQVYfMF6Zx1PNqCPMcpHt5l6AF2YBI2eABctz+Dt8Dx7d/I8bTBvp1iyal1ryXrlz9tms
LA+M3G9fy8Xg5Z89mAuQJlyGKov5BR0jyr5gB5EuWpfW6MlzmLiIHAaohxbqKapkbzM6xsF3zOxU
kI4bgUL1sTMZ+KQW+eKY9elrd2IYjkwZtMrOMWxxNN3sU+lC3BAJvyspkojCgY7QdhVGr9mMWE/f
K9IJN5bJk4u1kqFRlz52He+xrfFzR9ba3K25ILOzx4P41lNfrcuZwtoNTcQ9fy1Kg8PykvTdSzbz
2VISGc3aXQ5NQXi6p1cYIXlV8Li/KS3FZ2W1UO6hZv9xmkjWgsVNLeIw2Hbc2jt/fUOSJD/XV4Lw
vNt1K/Bc87aXfLCve0DbC7YCnV69EjgkppMfZwxnqvWxIUueVqIDnwZsOuHwqE7b7DOXcbFtSUiN
6LSQa72udL7NYuIk/kOtHFZUeC1bVpPpuiOHckvuHjY/3kwsSwt/i7jyA0M6cezXu0PPl0EzeUlL
XJEhmPEezhC9j18rcTqvhZgbF2Qag3ZnjydVfPFhXxI2sOFvuHwSf9510NqoYrgBQ0pMW1oPy47h
TXqume2SLSzZfjpWBJ5hfvy6r1g5H6pbi+fcdW4NLGM4ddQeIxsvouJCrk/YvPAnsc7fOqw0ZGhy
q6aahw5JiUTIyGNFOMHKFOLWWAEFxXp3Ad4Tt8ob7iWs+pyCqn0T8wObkVPB1/pbrKsjTjNihnLD
2mhkRR8aoO3bdY+Dk2rBqOCpxoFEQbbkJ5eOzsZcIwPQx+bQLSiHhzQrtgOtyitNFOqRLhT8WAas
NKgorgjxePt6Vqq+fMv85LNa5gdsDYoNo20248ilXncbkkHYGHteAQKmyFLxXBqVsP/pZEIbt3vM
JKSxDCi3q2ZHjjheALdNzxMBNoj61vocJTFRCv9B3Zktx61k6/lVTvgeHUAmRoftiyrURBZHkRK3
bhDUQCAxz9PT+0Np92mxqEO6IxyO8EV3b7U2iSogkbnWv/4Bp/my4MCb2uqaXbK6VGbUwpTPoahY
mQ0pLxr9zpi9bdIN7gZYKvDjihFB0QwIyIPI0vdIAcNvQGoE2hNXoLa9wUysdRU8CSei1BiR/FXF
U1Dn7Xaks/quecn8SaZxeQkznvF12X6Kkfrv6HOULxhXPBGKplZzNmFC70iC/Toj8KXEJYNg5a01
0yb1RbiUBmVPnoQVObdGl7ULf5nB+xBorISqOLhLA5dE1MnVXF9LA+0OaaTGBaqdb52GxWLsEDyI
tZJkuDA32wRf2Es8S/QVhi3fABDFHRb9iR8ZiMs53puthaHs3tOy6prUMgzx81ithyIlqNzMdJgv
EDswkDepUXBWjYAOV/nCCAGbY2hIwdb2qN6MCoMtPSjbjXBMZFXVE5EkpKN15bzq8aG56rFFWjFh
bnbEUMVrFZsBlydWMG/5Zbjl8rvnHMcrw+i2dWddpATzhmk4/Ezamgi1yg0YfQWMTIT9vXQIDg+n
791I8awZEZsWqlkkPEB5WoXfGauBVI0kV5jxwrMJzIIZP2MqGxhP7rUYZY6EAbrpQ+Zrun2rDQic
ydbkOOq24VQrzBl4pmF0peGKogr2X6Zjj+gDLmo7dVeuykq2cu1nabP4nAHij0CETV6p9my17Lpx
RSJ0O5t3qDxwx6l1JtMy8fOQLVOPu8avlaHtKxUxAB8z3tql85mTEueqmW1JderFGAtvGy3B9UbA
TlPk0fQoW7NanvDMDJYTyMzt4GUgHQzVhZt+zqvOvDRn/alf7Jg1o3nKAyCOLKnq7+HsmWxvyP4Q
dkClKCiCI0a8WyZQ9UGnh0MyrQGsn/ZxU0uOuMy/VCGbA6TOdoOMA9JwWfNTS0dveRR3juQ1ddFu
ccgYd5LQilWaK7hVGeu2WJYoDfPOHIZvXo87ZwIVBro7Ri9M0RAgIGBk1v6yfM7e1e8M0Idds6jB
Ak5rDGTib50RfUus4glTEWpkS79r5jFetTB510PUjBeGASVf6U7nl054C6/jWE7GVxrIagvhrb5s
dFE/IoH8K+ZMC/FrrsTkXQw1mxosvuQqHvg0LlUVrIqW6nrZTlH+zFdJx4nXu6iBBst9QNn9rZyy
IwXGeDs7Y00VKK/KmrpGMzzyg5VN30iGSSsG2AFj9gkce9OLCB0a2YI16jn72hzi6FavjfIvpXPv
8VxoN0biHKDr1ZdlymqASldQYHFPCVHhPpuO+7kglJtIJzU8ZBVEB+YJFJ4LeKXCiYDeBJqzy74W
ED61SapovNYQxnUr21s26cVju+9Lau+mnfmy1Jhi7klXVvGqKupij3RmF+hdcwDgfsm16CXktMfe
qd2QN3odSj7n6URvR5qwpdyplrWKnGC8DkyLLo+agOZabGI5aYxMuIC5nJn5VKQYXdG1zCMAkUNE
iY/u/KmAIrLuh264IWe3QNaq87BRpu5aMogvJpBJ9IPpeJMwqL2vuh7XNN3YaJDPyNuNqO7o6AmD
Z03WCBaPqpeUUSbDxxD30WNYcplUsIbHSM5fM1QRP7BoYM7u8Atcr7PWHo4zGOmxmryJQOZ0aPgt
dfaiz7r+LQv6/Jhy6p1WP/0mE+sYFaU5vwBC8K1S+94d1c72xF0eckw2ASdXXDIqBqiyzJmBcOj1
V8x4ATaT5QwMWZ9dgQl1Qw3FphCWd7XHxNpsvXIdIZBYCz2CDsQ2BhiZoGFj3AkX7kLrCC7qy/Jy
EvO8MSsuv8i/1rFJgaU0cZPWCPA6E39xLRoMCAEcw6x2jriOR9Tn5t3p7CXBCfMsM3h4v/G3/gQv
wCkV+Ck7JIGe29P2MTnjOCElOw2DOD+RALZWy8i9BBSEazdvZ3REfAuecjvDLYhE1rHVlJ+t6gtC
ywfdVQSfRDS6S5mBGEHb2I7zkPThrS7GeY1Lu7YXKYT2aIB9Ww79rZ1pTJ5dxHiiDR9PQOapR3IM
8QOFXfRijzj+wOS7g+uWM3FujaOwp/HCLsfsSKQ2BV2/FKUOPVAr2UNqJxH01xa1l6Ybv5qwzpDu
fef+iDUIlXlTMTViGsyKUnjO0PP6VugGh8Qwxn8fImciIBkUIGoFFThP+4jRFGfhKcynoad0nSG4
aDoQCVtQdGWJ9VmdNt7FSxArw6VLomh8/7H+ARTDDgGUzSSveJkmvAaNcEEl9FEk3S52CH9vxBzt
m5o6KbLR5mOAiTubDcGjT5X8AK46RbKeAUm074uRs1xo4OfhA7zZGOYnXrdzq7FfWWzqPh6Cxr0a
iI8z57L82ulxsAn0GRGWFd8WfdZ/8kqxm+RoPL1/GxYE7uyz8AQcAzsHtOS2foYDd6LTS1iTyQ5+
t7ZZAAOz5ZV2Gjx6asu8UyG76/uXPNNzLKAg+CjRC4wndIPC++zO52Q8wMrudk0g3U1aTVgjhvyT
kTI5bOp+1UfagHqjxsY07LP9+1f/w9vMnIAPgKn5aZT1+uoZNxW2itYS90IxlgDorHMaig9W+B9u
KyizgJbvgnu+GVNxmmLdTS2xmw1lrjs8u3ysYb5CH7tuPLxjWgLK3/9e55KT022VlsfC9ZAWQFR9
/cXIUQ8pS7J2F6q4uQxaAHPVmvWBLQEoZ3AfoHEQf6iDngk7/JaNKTYfo1GuxrCCBtSrH3P6gQwG
VcT54lrmiLals9gBgc8WF8P2Wnl6yTuWxF+L0pp+/ip+k5gaj/jhD7ywz+VS3AKECo5jgvq73jKI
fH0LOpRBdgAzcOcq57rGw93PNSvfFASur3Wq5pXR289mGj+WUKRT3Xmsla3BHBquoLP/aN0BdpCl
5qv3n8wylT27DRYG/ZbFUufVtk8jkd9mlpJQsil0wmaXYXm8dlKKZ7tiq+n0nCNTiAOWOscIkOyL
bMtyMVijoo0gHyqteILkAjBFHbdKS4HMtFisJG15jWEbfiNx/N1u9larj5D0KEFa5yAbeQfh5qUL
IzgxYRcTZxJuIgekxiE2Y03yoJ8uU0cY0iFpZYubZ9bCN5JLb63rJAEGebbWsQTj1gBlLWO708EG
b7I+vH9vzkV6PLJlkoyMTCLXQ7hxNiz1jH5saQyxiQtoFyarCtdOCwsmHTJwMWdx6YmkAjrIzBWy
Wv30NYFW12ZaFRSEDlBtwEk3ExV9UeqdtrF0pkT9UjfPxIRhRRLOVwufdEUGqcCw6cP97Nwv/PQd
8GbGDh0erA7z8GzZ4blgmTXFJkVpAx3Z1XwwNezlnRqOrIVYwM6OuE7XGyN2qhUBK1vMscoPttW3
M1eHwHGWF+lZ2HmbZ3cyi2dZ9k6IkmKqL8TAjRGsBCSE9gcXEm+3UEaHBrI2JryOcM53GqYgAfYe
SYnxIqhgTN1jTGhCKyL3XlJ4lr7jgEqpBV2uCExZ5RhPrwT8jjVsJ7JFy+gb3tLfsBgVRyej30to
Abm/yaZYesac5h18+1hLZvMyBYbTAnqX9xfenx4aAzwGoJbDrvFmcpzTuQpjjspdhL22T3onhoT5
WK6zhqoTuzBcCobux9IvTQnwExavL1PmfrBjvd0gHWgRzBOlwL7/zTGRCrJEEdGUO90sfkri1Nfc
Bi6W1jCPp4+uJt5OsByoNI7H3FcauuOen7yYJbi6LUrml0O4TUqMBZaxJCY74dozQgsAl4J6bhly
oEUNbzCteSpgmF/ZGcW9qYffSiQQZN1W876n8V4lJupXk3hEXwua/iqWw837j+ntOconJm2Dgthm
Rz8nEtTW6GSEt5Y7R0NmUDRli7oABKLT6Z+Asolj0tMPhpZ/KPi5GitCJxmObfv8TcL4nODPCuoV
lsss4UKaNOKjOMaFOS5+yuCpkCjpaHGDA5669CRA5YIZgrdrm0zAeVc5EELAoAgnClLnWQBwIZEb
bCuq2VLSYmKWnvjSap/ETL11wkRyg8Zp0dpuW2fZzZQFXruMX0zRKeLAQ1ZnQc6giQcttproflUg
H9NKYHiIQmNV4m2LrU9WbiNnKeaDwdtZy4QSU/K7UxTVabZRpPhXMXP7vnTCtmq53KgzoQi+Sg0d
Qlk2w3aeWYbvP8o/bhskHEHgsQUKynMdfenOKqpxtNuFUxvdYn0OKED7shUQSrG2KAvOQJpc5Ylv
wOag2RYPGhGv6w+dwNLORhbmTGBEp70eNhqj0UlBKzeb0vLbVvx1Gm2aJeI2j2ntRca4+zqKeQjv
f5O3BazL/krxCuMEuqR1tt/XockItnaaXe5wGHf4FS3mFrwSZtRfhliorz13zv4y3cDxpdMnH5yZ
5tv9lwg7Ap/gvMA1Ms75PZ47JlhY5BjQou7xC1GPCBnA+90UJFxilPM5L61srWSUQJrmHUlMTshR
A8dWyz9ZCdY7ne7gPjmzTDm7mCg5DIDsyfyqG91FMhVPWgP4epo/AG3gCwxSPWKDG0T1k1Uu0wAL
kD0GlNzp2YLxjQucO5fqroa5+FlPLb/UvWPdC7WybDRP+J+A2ofeC/9h6JFq+k+zwbw3dyHYJA7j
xvcf0h8qC1dQfeMt6pmcyvZyF3+runpmdXk8RMWuYkhxGhBk5jISNpgIlYrXcG5TopUTgm71hCQC
smQJDv/M8KBclIZAlHoHcar25JrT+i5d9rfKfsAWQTEXL//Kmej74cQswoE7vHv/07/d91xhU1Hw
3iP1fNMjda1WNmh0kYm65s4ImC8uW0UyAUee0CjIvR/sem+KZ4c1RX1KUwbNgYN9+Ui/3a/IaAJ8
u+kEgbbL1VS2+MEtk/vTLKY5Pd6OoVDP/gKTA9IIzkrMOVtYtBId7KYm6mFjQWZZQdX4aPM4PyhP
Hw6ttOR9W1hDy9//9uHsyY1jZGXJTkXwCNqazzBRRnTLlDVd7sr7t/8Pl1tecZhKEi0HUvDXl8P0
zmoYRCa7wVpWrZMdJ42CymxYO/SOH3XE7nmHQOCbyY4CoxMim0Hn+Pp6Ud0zbaxVtIsi1CKe6k32
Qvx3Rqj1jJrgow8JFQk5D5wZlKF7RRz3HmEB3P/CdL4MZubdxj0+o7K7aWx33FQ2Mk9z6KvNwDvq
g640l6lb5jucO+xV2ebqmMuYpOzFLUbNLSIvxS9Xfb1YQ2l3Cjj8EHck6RUxpq9aIbAXd91yTw9j
RmutUINv4qG2JmC5x5Vp2IJIVps6rLCHE6G8gMuhMVFJbppJNwnwdeTOEZJ7aNTqiCgkRheWhDc5
ffJ27rXeT3MXZQWmiFgjad+MhW1nDFWH+MoVW6xxYgxb6dQCrPyADQmw6Ki555ViTu3nSSYvIKha
8MASL/btrMq3eWlCho7rHktdExfOQQskcdQExXiKz6CVQQi++6lszZswUsLXQIcvXRtX/USbja/d
4Mld6yTWBy+aPC/UHXJ2DJhYmMRb0PDO43a8sKo9LeWUh0Hh7k99j0xhjeSNzmSbWioWmX5TVlW+
C8rBXEvI9htRLg8QsZ/v1i3u+DFynJVTOzHhHtH3VMRyS6YkmRYeXHmLBbSZNBfnZTZI38R6b8sQ
wVwvqMTWlbP2MBWDefSWXx8X7U0biQfLgW0yEGyw8axObro6y/cibtwPAKfzwwvaHy8UbzB1DBuN
frbU2TlxOqkSdxvVqHSjaQVE9MHbe755ni7hwDC0PN02LH2B/n7bLOjCLICAxXQRL2e/6IFfe5zu
/aQkvaHBL4x7g5vB+1vGeVHARdk7TYob+gm2jbMdComsHdtR7Wyrwqk2DL9q5Mx6xdgtwd5DMtLT
pNUciloP1iaOIx/AWsZ5bU9S21IgCwp48FQQl9dfeiIMG4eAArtIu8SAc4wbnrac/TheLhhY3qH0
WgLdDPEA7JDsUtPuH9+/BScG3O9g4ukzAJHjQYEfhueetaC8NrWzmNltYzvR/H6qmj2mljWN+KJ5
rXvlrfH+bJ5HfQ6uuZHmdTHCOiW1w0Uh6cw+clrijrAe2qKwdZ/0RnArq4bqLsJyHGOAe/RpzcGq
Hb5OiydhVZn20SmH6rMIYSUsWTRqh9PorXRQBEW9ln5QfJ0C9l59RwpYvLhtXIUArjmbz+4zUlKz
4gjddrxVx0HW41YvQ2Pt9UV/cfoSXhelt/oQOkeMjI01g8dg7c367KcYSuOxYM4+NmEYC0RBuPfC
yPXRqWu813pzGGfxUsLF2Gsoh9cdOiVfhfIuEZnclLXqL+Y5QmWN3A8GwEyaLCJQptrNotKJYXPg
vZ7a7QzDp1hm7Lm2zUox+3VgrcIywj+yrprrkZ/clnYPxSIK7yfN0shoGdLbaS5xg8eGmpzHC2vo
FgNqsqnCKuqvhHLaJ634Owr7+/jfw5/F7a/79jtR/BT3dX47AeHhVDpAwfK81yo9L0C9AkEjTGqw
k06r1whxjyocPmUZsmnZmcZ2bg28/W0sKQSI1zrG1XyfuHgX4yKFJyrz5XXq8ZrFeR9dVkmoP1eL
e6g+e/Mlv8U+9hjzMRE28z1AUrfipts7TCkW3zMkOXGAjoj4JAYqjbmtRJVD6hP1WrOLz106dVtS
DVAGD3h5z/VHlY35ZrfCyo1uE9jIws0euPT1gopVO9nAKdYWM8HuhkgD+VWQ0YUuzWQJEBwkNl3h
trt2GLWt1DINIk4VXRpx6+4nU6GFxdkd8VuRPWJXBb1D8dolc2OhobJirFGGkoVph5qPjGn2dRSZ
m6ktsGvEtWPd6a6xmbC4JQGJUANhfhp6+WRqRrqaUP4EkfpBr4ObHfOpy6zVnH0IaeOKxF73tqWe
3ODyT+Z0n9KO51HpZxgO7mywgZ3JyG/LYJKF3nPJ0UvlBxjOmypt6SUNPJ8R9mI5el4UTqOKmFGy
dvrUekFt4N4u70rd4ZM7GGH/AYzrvDm5iPS2JAw1kFzhYevz+kFlHViV3rXssNCpfGK8vCeIZdFl
OWOho8/ZuJV6EF9HdhtdCrdmw6spv4yBmz72FRU8or8108QvvRcch9C+CmZ8mg1YPqN9MYUEKlUT
73UfQ3nl30UGbs++5rEu65jjQwy8zZTtL0VTzXeigMxnVNgQkCTU7DvJO1DSFB7jRrc3SSjDbQQl
/nHo0/qegX/gGyLqsbVRBCQLeBqJaQBx2XO1CTVaG8hc3oGJ7F2LPmbvoUFmWul1+IrkDvEYRX81
6GzLTZkk22b5OExMFxPGrH+0JtZW03PMaFHvZmtLkJ6BvzpvYash/NQL3QRb07/KYHHp7A3G2RHS
6q1XZ8DOfahtK27kKnIMexOBBVGB8kLMHxzQf1gtLBKwmIWPvpySrx9fY9t4GYSwYt0aUg65M/G2
RtK/nguz8B2LF+L90/Dt9ZgqwkinxKJRt867dDvJYQbPhbVNsZVmvs3bAG3OO8A5wpJjRub6/vWM
t4UlbRs2bHS80NTxnTorQVzobWSMheYWHpPcqAlmKMl89lFlDKLyWY8uR89EXdwg+C26el83bBd2
gs09wZ3G2hlyRgEEfZC3wz95HQeV3vOo9YLAktEx2l1JfCMMzKK+J4MOZky+HO5WUHPyqPTWyovn
adlGQoIrYVyz6GwjfYa/WG1Ii2d7L5SGvY40HgqXww5J8lXaL57ljXypCq/w58HC/zd9FhGfXcPZ
ZDu5wXwJriU2RjcCrBT1Q4Noc20sKWSno7VMKLVqN4yeYJRJZIoQ7g1IvnBEeJsI5XV3EUvwssA3
Ejs4s90V9nKaZhi/hiV1SaI4Z8geJD18eVcxNoyh9XQT9jXsbxhpMhWqWOIJnq57mMWcPQnbbpOU
1WcipbQt9424xpoPVDoOuSE5Z72nRUwBpop0rtPfpqx3hVvmtnYWS9ICZojfiQE7G6gFq2k5deNI
NAdTJQ4vC9uFMgbqgXacuYljc4ha3b0yKgb4XcofvTZ09w0hmFd5xL+ih1QQeeC1flNA/obz3e7q
sKmv0bfC5miDgnOBr6nhYXLda/Psl73RbLqpsHdolLyDyBT3jsC3XTrbj/bkfMel2VgjDxUH3s4e
Aw7cvNnBWMXW5O76KqVkUZTRp9fds7l9ME25gsYpUHpUOkS1MUT3ZEvTzuM4rfb/24rOK/W9Lpri
pf0fy2/+XjD7UNjX/q/Xf2x+/ZmSxX9un1/9YZO3HMB33c96uv/ZdCk/+qu4Wf7N/9O//I+fp9/y
gUmdxA+OM+U/RSnLFf7+yevn7Of//G+fFAsr+127+feP/FJuuu4/POaeFN80lia+jNY/Ter4G30p
MgALHfRL/P//jBB3/8GolD5JuiZ2hdAx/uVR5/wDiQjuTdIxsb1bIsn/+dX/ruu4a/9lnWe8bo9s
mFGST7WIdOj5XNM6aw0CGenE8wmxN5nuX8w1JMSwILAkECScjIMDt37Gqzlqis1QhuOjWoRTsOS8
VaW3kW94DCIzON7YlDSY9rSlc59jW30otLK9ypwx+uC0WHrEf9Wlbz/vWVVmaZPdKncywArSgToL
F7dS6Ei0cvbDkuEdFl/6lYfF9e63R/qnivjEf3jv0mcdMiZ2WYnpxQT7oYFFO7bxdYJWfTtXY0Em
rsY26aVYShg1RnbCuhl7xmt25WU+RQu0KQ61/TTnJGVgRLEqlmAHp45uACS6gyi5e7Ycl+SQECvr
blqTRlGsEs7nPRvrfdnHmzpVj6TWWPgHVFpZU/u5/VOitInNsRqq2yLKkKVTSH/qEf4fkwYuXJKO
asOEOrsgIqO4sjpPXdX5PPwVIQXwiT4sjspIxWbKcDWo4c7q+XciM/VDmoc7EDUNc1NybsLB0B/N
oRgPTp8Pu1RCQA3GUG1jp/se18T6Au2L7onZiL6Lcs7UGRPZVRxWiq7FIn9dxI+WHdx003BXxSUC
mcEfUu3JbHLvErFhdjHF3pdmFtoOXudlPZm6P0U2w505vMqyDD+K0JG+S3IPPPDFYpeEr951ntuM
XqzHRWvFcP0CDY62Ev10M2JEv22qpGUkBQ9Zi2R7UfbjiHgH+4wghQkfzHI71vCsw+IhNceLYJ4w
matLv2d2ITRsEOLqwjaWFg0G9zZOzNEvw6zZqln0O3yxQH+GsiK6aiLXe9KLDV8sWjWqbOmEbf3r
EOLAbodDi7Gj0U6MqNQdsjt5wVsDga67DCgFVqYrMJqLxocRtO2OCWdLgCeToNKGBmwO5V6PtAfC
XoYNiUgeVHueCbEP0Y3XsXv35NMeseLZEBhhbBrXDg5ubus74g2CA9oXd+2KItpU2LCt4YhCP+xK
5feIGR/wuLmgKdtoC3KHmvUwy1r6aaTSjWpZzaNFYshQErDRuYwGJIyvyyGM8ORXrdrpffbNdPKH
NmnX9RKDUgE4eygeGM/4jU0YA9S50rcGomHspAcBJSuQmsZZ5+CN65QpJZ7eJR4ZSJ57z9pbPE16
q2BnW5/zHEUJc2Z3FVklNjYpyWpaoBG2msawwys8fBykqhXGM5zq+qUWgkrawzj4I3rPVQFIfjkV
ZfIplgZ9meNgOWN+WozfYBYRNpJNEdqOLr4GkhUIwHGHabEIXbcxhI1JEzso1ztLoAMy7fC+E1ju
4eCF915yqDL3XrlYG1XT+NCO6tIqId220XVfGeUex3h/cPrN2Hye0+rGqYwGf9nuPopK91FUidoy
Bt7kevecKA5lO6yv6kT4U5Y/NFoNgdvbVlH2nRDJTYvro586qHQqwUgRj7xrb7KjHUKqlYqrO4Ux
iVYbN6MTXsRBLmgJKk2sgmlytiG53HDUCFP8ZkB34r7n+ie0ZVuUW+JeA0PfkphwMi4ev/eCoZ6e
1zbphKP0nqNU8We+FqhHY/GooLeuSZ+F4kus3hZbsnCdRh0x9pXMUSmo/CASVE1l14R+DUvwzg0E
blR9AuFXr7p9Con9QrIvMvDSHzOlSLrwquFy0ofuoUZzDJBgasQba/puYN6xT1MHp8Ehd/Sj4Yz6
gUjL+r4Ksu526GS5V4Ug+RPL+X0aFxE2prgYtSn8drsKbsppuqiFnDaWnTxMedxeJEHL+ZCYn7tp
jjZ16RBHM4XEMAkiatB/19eiIk9Xd7H/IhgmWYka0nKckFHqIVo6hIurSawRrEDosto4OlZbXtFY
hJ9oF04ws9/FJoHALl7TpAUyKYYaUQ/ODDO7eHHCfK9Ty+wsW8L0xANnzwTvL4nZIi7HwZ2jJE6J
UaBtR8yDEGVGPbKg2DhkZZxfY7tz/8E5Jt6eoBAaOPfRowCVOWcorFvkQ5w3M/ZIfUaUoG4KDTSn
qVYAN3gEUgfjQ2Mkn9q5bPdE3GD8tbxdkHt17BqD6tIDeECnUmBGGtd3yYD/DgggO19o5Pm1RcLH
PjF05SPJDffkaABXj2ODLmliY8j1i7rS3T0K/ReMxvClb5sCWCe743Nom7BNn9//vhRR5wXDq697
1l7GZpqKIkHipllNcN/Uo0Su6hLbTUzvv9VZnmoTF5QZ3Ij/whz+rM8zGGRkbTIae9U5L62TYgdp
mV+BDHK/tsqn97+XXCqzs3Lk1dXOYA9NQdohekzsmSoQO2HJLzKLukM8hD8MhZFOZSftLZBndOG2
guhObZS+YIC2IqixvfLibh/zJP2GpQntbNzGTYfxRMALH45d5ivFI0ysRQTQxpYvpiK/1WNkLiWs
oXU6Gvw2DMNWjdSO43JQV8uRTUzz5fvf80/Pb8F2YMIaEJvOuYOGZsJRTxpjTx96V6jM3sOoQtUW
WR9c6Ayp//X4fr/SWSmctGMeEYYm9z2BDHsz8H4acwPjTRfFOk/sb7bAN22ElrLylkoBAVDhv/9d
l0d29kip+ImhZhTlsoaWV/e3AQnUC1vXOEf2dmXhmGmDf2ZSIFj3bO1W9Zog1JSE9A+W7Z+++KvL
ntXUoi3Y3FBe7zXTYhuorR8OViX+UAdEYCN+J0cXsQVGs7fpUuU4A6zZ97/4Hz8CD3kBSdyFk3q2
KaU6rXSZKWMvVcqkgSNRWc2V64G0Bijy4VjaNzitUm9K+yu7frV9/wO8BoVOz977/fpnuwQzRYyj
85BI3bT7Khs1Xrd5IIm+tHmJtfCDUeNrxPLX1YC6GK6iXbD439fPORoUQi+glr0lm/hoDMmwUg1R
bO9/pz+8OQug9p9XOftODW49ALAFwdctXk4DXxDLKZPcZ7v84PH96UrLV9GFa9Gtvtn4Sg9V9GwT
/xEMw2pwjS8pgBrv7Qff6I/L5PcLne159B9dG6S1yduJW7Aa2puY2d/O68gOB8WRn5IQbcIKYUx0
Uy2Fsijb8gO8+Q8tswmPU/CK6vgI0bu/fnpBNA4VuXRy3zlxSeJJ3T+UwjQOSo1yX8rxsSjh7IQ9
NsKqhypZ4TK0diriSZ1Me9YclWxIROF0oLogIiHMvti1xPNUic9xTVjQ+6tAvl1swPEIuSGFLp/Y
OlsGmoEQM5trPlrYXeIlDys0IggVPybU/Np8NXr2uMFQet81EaTdgdASmlBQsTGhfLfydNNnHB11
nx8oU4NNjIdkxpAPwQrmwjQRL2U5hAe9yijhMPk1nL4ir8ShPZtcbMg01W7KmdiZtgxQ2qY/hULo
Mg0VXGYbQkXTNL9KnP9nGNQrROr/I+8xrGRsXs3/Gqh6eM5U+h/Xzz+6V2DVrx/7G6zS/8EwRTrY
qFjLTgy89B+/bMbIWkC/AEYP2YdUEfkbXGXIf0Dl8sjWIFeDs2sZzv4dqQDCBb+Dn4L2DzWOwf+/
A1cta/VfByRMHMYErsd/MUdfGEdnr15dSbezR7ve4Dt6a1AAQQmpvjLLDtdQKKklkwuzGWeWMvlo
v92p218X+X0i+vo1cnBiWuxygMgIftHZAJa///1sDhqRJQi68BKgVtbmEp0eka0fFCH2WVnHddhb
bGQJ3Hlm/tzO19dZNGKoJMsU2Y0274PWDpGHRUTu0h6sFhf71Yy34FE1fYQWVlfHtjDIip/IcSc8
ivjMCJowFs8zJiq9hQZ3nEfrMq9n1AqWkheQXJYoxca7kgonrK6eMOgKbFz594FeInsvnTtKfSu5
KjPkpJVtP8hI4tCF4+V178yEF87jYNyYBearfmc3V6HKyKVW4AAFIVzb1JYl2blpI68dE0YLZsTN
hKG9nO/qKRRHdMHagzMT6227hXczyHDJ/pLmFeakUJ40bXpkVIrdoxOkKwMrlxVuEN1OTLp16eFZ
s7PYaA8zhndLCoNGYL1wIi3Zm04FbR0rF0iPmuoIjqisQl5WgYablunIAAGOB5lcC+xkXSC6+Yrz
fizXiSjFPcIkWLwNXpJYjGrctQacb+rj5tjiAr8f0LVmd0RU9D+zYNL/ys0GQZ5uafnEhDHnR1Hb
Dk9DiO3USnOH7BPeQ186nKg2fUDihCfaSzc3L8laL/dhzLyir121iyvtq93p3pXemaPtE3FWrdKu
6ZgCJnGnLu1Yju2eCeZ43eHvwMNKksveHbNdGtnJTrghfWtcucUxx2LqQOJFtpd9NDyEsoh3XjCE
vqpxfmgazGHmjsfdkIr1nAIQkeZdNvAfnGzcJZp3k4EgHr1ELfTzurySWgJk54CqocxH2KI17h7/
kHizIN2WP7adcZwU4sl1ZmVE3cVDQGqhhsoyrVFeAjKZ9M14UBANwRzYhOtgt1il2KHhfnGSRL8q
FwXtGFqXLkJm2D+s8zYkbbXC+fBKQid+6DEUXEVZ1/rULoTJ6if7FI8OBuYDDSld3AMy9BRjCKtO
Prlh4xl+j/TLQIAC3zHyk6IitZcefvgau500IFe4QucW6xBtk6ZXvC3GYJGQNs+YMuC0Y/Zb8In5
2s0d+S03g/Zelznxpk6MgdiUu9MnMrmcn3Mo6k/O0HiPbQsXBgSp077GSoxH1WXmg0TCY/hjMVbO
tYlAFCvwsS9qSH0WhDxD0yoEvAsxZNBVGK5GKOSYjybhgMR7ZO7c49B6jGujRkjuNtNudqwJrxbD
pWaY7fhbM9bp7ZCh1qrCLn1oMFHaE219aHJl7d10eJnhqZLfMA7bJJfyhbj38gfWIfF+Ci11VSVd
dJjxt/CNgCE5t1P25GBE+EZY8Lb9bjTaR3sQ3vc4kMGBWETm3RaRYnkzDNE6bDJrj5VQXPnKaJqr
2aijzYRI/IsMUngu3WDg8j1bz+h/cobyOE8J2zA2+B/n9zmMZRyWPeMZ/Y99a3RztwvQraym0W0e
gxhecNo3+rEdw+wpiq3qc0Fa/COaCfMQNQM+PeXUBr6V9Mmw7rpk2JVNQ1JYkjN9g3evjPp7qkQe
XkaSQdsqi1PXfBQ4Xw8bi598qmdcmuIpegkCdIh7c9K7eWMAUc97AX8ANZPCFaSwC3h7kcQk0Zox
/Yu7Gi5+qFd5uLJGmJoN3rS1PxJ2+cxKG6dVHkQTG5LjKUQXit0YHiyGyBEJEPEWJhTB9lJ22aZz
oHQfW7T8F7OcjGZLzqGxJNcK9xBg1vzV0izvtqvn/lDpTvClkaKGPKL9b/bObDdyI93Wr3JegAbJ
YHC4PMw5U8pMTSXJN4SGKs5DcCaffn+UvXuXy3260XfnYgMNNAy7JFWKjPiHtb7VDxpB9XQOG5IR
eG36WAveIntCbROQK3EKJzl865ICp1lg1nGwVkyw7gyA1s3KQAu6CcJ4fCuSsToDs2jMY5S73qbX
pteJ9FBGkIQe74o+0x4KZmzfCfjoicdgdDw4Zt9t9K6j+516gCbI0fPihYefFBHM9HB6IeqgyWTO
Biumk2rSfTX0NukI+MSaVdeqNkXzWhmvY9WLdd9GqbHFnFJYvt2p9lUrhsbaOGllPedWpb8oAoJX
uprNj7hrzZWwZm/ttYSvgkZsLkghvc9GzOWZJA0vIQKi1UmKAzk5w6oKyt0UjiQN8Z/FsLXUXLJN
dsQjgR42cl2Ll94vrVbt2STwA+TpnC6pC/MAzhrtDuFMaUIlm7JGJqumszgvIni50OXSqWj9IJRd
vjJtMY9bN2U6viPhxaXRWO4dl/yTb1w9hN9OCZsR4uj66imN2/mUwiDe8isjzSVx263FXuaGfAIu
vNBjmaYrpz2iVGsKP4uEBr2szIurCppuhdJZv6lQsJFiMckravAoYpvuiEsCvfhMKAxJOcqEmjnV
A6fpHJ1ypqu7CPdW7TvIH4sVyz+iOb1KRPfQIgx7DZGl0Xx4IvryohN3MLc1yC6MWZ/JlPPcdgAB
IB6lXvOjnnT3AhFElKix0DoxPabe8so2egFcjPBVL9s7LS13orXHKyQA735Oh/Cb0crEL83JWQW1
3rGni5gKW0VOaKfj1YsIL7o0TsNra9qa9ZSVqv/oJ9gdURrXDg7IcEJqHNn6vMI3pfvCkvWtO0c3
E/yvhT1wl3eq2Vl6CeDFMaPHfkyGcz9X/OHIUimoKA26f5yJszUadu8P5MDcj20LcdYimzMKps3M
agk9XnbfoZEhEH4Glu7Z21gPCcUW4sPqNbke7PqSTiGUtymooEtUfD/+oL3tg9w5EkZS7ubUNld5
VUVb4AgD1vmkcK+YHLyE7bsh8nWK/IWJvF2VpxKk9gu3HILgkoeKOohC6EfeR/N5aqoxO7C+n+9t
M7HhWIkYk9PQ8wMdzCi3at9khs60oKu/M85Gfma5cfvRuVE9bXOMmJHf11W1d3pTv0mzojd95WYY
SBOiiSVHqyQNwyPjZzgsSWR8adK3Wj/Nu+LBsiZ1aqaWZOQ+sxqXkk9yH1YQpJ5b2ZjPg9KzjRPi
oeEKHRE1t3bHMpK2E/VKonT7Y65S586qg+GbMVNSgniK02PoikqsoF167AIbvXxSLNFGBFg971M+
ed5VNdV8TmFh7uvCsR7hHnh73TSTiwht9wWyRc3Syeiyku0NOVYkTceQRFPiwPnlcYDDA/EyDC1K
kiLipWQIwKZCmsmNnkwPUkgZ4REYTWtVTOxP9/pY1jed5kXNZmJWcBMlecXANuTbhImB95/fi8W5
2kTkagJq5RAD5SabGzw02XApUABmQOk04oOzvO+BY4TaFFxCfXSLdRLi3/IrxIA2SwTW1KApqlZu
5RSZD30d1BpTVifUN0kPbu7owQB0twaGq7NbZt6x6x12q1Gu4xVwmADi4bTwnBHW0lCtLcS7eTCf
nUi3n3mpk/5oWIQHENQ63swcOilHeuo8TRUgkRO8bzKJYPopFgujJ9mfxl5NyVqN1WkuMu3NJSR2
XAfajEsI/TROkYGtCPGvdA79ttXtDg1Pwet6jICVPGdomb/VE43PzRy1tnuQLa1/VtYdsnGlfdeN
JGDfYjDF0LlVDtM4cBSXbpS8iMHSCTZKtfaZ33Z1axlzkq3mXLAs5TDfB01mnmYrRBokg/aGNG2s
+DIgHQbnLr8nfohuNdrWeK56mUWYDsIA5RLlEeQdT8nHVjdVFf6bru+XidMfbR8sXkcI+mED58lf
27HC7Noui612Exh6dijb8L2IiwdWfS/Cyx9MWXCxOmxAKDJ/b0iqufvXXedXR/tzx7u0nbh/6AV1
+s6/kVqnZu5haFkdenUIdR0GH4zYmtDcvRUtgcdpX+Umq+8i+iy4OEzkiArujdFnw4sxTvIAb7e7
sau8vU9jx7td/jIrG2XJWRuq6cU0KeHj1A4L4lcTB322bpfBH8PV/53H/BvhEIZegbjnp9/436RD
u/Lt51HMP/7EH8MYx/qN20YuXkLGLggHmYf8OYwB7C4FpA6Uv3+qgP5bO2TI33hQce0vXhY4LgvE
5c9hjGEtoZhgOnUE3Xw5LC6/aIX+lXborzNzx1p+MMRLy0TERiSu/zKMMR0OcJkNCwYNq/k4YOoP
Euq1LyKWlifj8adP5p9MYJZX7edX4Y/vxzfE+gsH/1ehaBaKJrUzfSDzkuabo+IHd/3CE8Vr9q+/
E3vQv38v1gnorDz2pM7frCqdjTNdRNGwYSSGIiqXslrmuMaBzqy6TQNUzN0skl1mtgVxhLX3aQOL
uzZEUBxI6qLaUVoKEW+iQkRo0CzXlRfWz0AuwCXFri3PNr3wsdPN5n0a0GquGsMJuDFGN6IenbPR
8QdRftcC9u5Yko3HHINRv4UZpIwT/BD9GmdmE66aeA7WbeJY31s7KlGADAmgqSbrfgDuib6HNq1A
Sje7LoNsvnqK0hX50BTuVI+RIO1ack7AU57ou/V+r6wOuF4aefwoncOJz0gZX6WJCoxpdpg5RIy6
kwPaNtScXYViBLZtlmhqBQQVGUFj1ZQ5mGvrHzkr86NDyN4XgcroQcJq0AOKyX4sZMxsOU1EcJxD
bT7RvxZXUoNZJJrEsQegssK4etFyGHmMtO8SC1pvIZ2baYEhYkSOfFWx4hSeVt9MrDhXtCf9KtAx
fRKUwe1AOjdTrhSKqqGRCgLf5SX2lkyZEdv2RPyZz+6ZbV7vsOhJkm0Gjyn6QoYbAHakRmcUFPhf
QxMUJktOU7ufCJ5kS9mA8xujHeI9a53lCDQVCo20wiAdoF/2dYO9dhIvsEpwZskyO9EHMF0LhrXP
uGXLCBCDvVCpTTvHJu8Sf9UZkFkhq4MZDd9CE/jaYihcaDBDwKNuNGSWWYW2Q7JxV6b1GlEt0jDB
tUMO4ENrJOEKuMan7IKbBeemuDtXmZHvuOddPx4YT5kNLFmRjiuSmD4TO98KGvgVs5Xdgtj7Yjyk
AQ5i/oFM+rOAJE3pcpO34TGscHCk/TK7j9RDSMAkm3TfnXoK6HTXsv6NwMlsiHvluRtdTO8qUCq8
SYTF8hjGYnNRLSEDMFOKBZs2CNQEYshOujd+tzEFwNCu7S3VXOPXC7bUoyPCvzp4G6rf1J8XuFzs
AUbpyPE0J4KERDC+R0HzPIamvZEm9XYq0hizjPZIeuMNHhN9NQuLjB+NGZeJ9veLFTHa4SkMaFTs
2nwhTI6/QADyOODbLWTqgHS0BBepzwTTWZEU5ltV2YN/41svTdKhKdt+XTdyIKQmuosoXcnTG9iB
ZLgsUKcQEYbn/7FFt0/t6DwOOn/TApNqX/B7sPTq3aPa3HydVf97uf6by9Xg8jHojH462f92u/7f
uivePqK37P9c67fP70308137P1/gj8vWc35Da2sC4WC9wMJsmcz/GbBiEAuNdp8J2686Xe83XC42
/7VJhooFdOUfd61pc0MvixK+HP5o1iL/yV3L6P+vNxIdrgf1mTUK8QzokX/dOtIzVUu2cn+oYxKy
9h2JiRenkUxHRdC1kz+OXZbsydqqOt+p6qjllik6tS6dyDzgVk82tmHWhzkqpH3LpTYyZhyJhWLS
3cSvc0wNzdEO136j0f8f59IGPy9rYldx2ZOQXEqZxygEpuqVS5hQrdKIi9rHYxPibqWjczdUss63
ZsDoYLQO6jK36jfcgCZHtmu9V/OUpptAWbznGNbabF2Y9JKrefCGO8/oknhPW0YAmDnqk7lXY1Lv
mCX38IB78OdXQfIv84OqAsg+SSO8Lahy7nBfVQHvXc+dZCRDJVdKU8hzhZvrP6KYOSQQMxf9vWVp
1n1BSBspEUEevihSFSC9ucH0IWytvVZJFqzhoBbdyk0qRISitvq3KGnGg3RlziSxsuNXSwPrVAcW
dpqh1PW7kdnAeshN+2AYLazhAifZ0vybTJNBiD+2tjm9AHVxW7+YzaBlqlHGe6Tf3L1irlO84FOS
y03VOOLWzI3hdhi5jEWeAQqdLSbRIs4748HEOYJijQ493KKxEd5z3xbqMClU15vMQ2W3Yg1hqt00
GlqZ+VnY1vFBNY3UL+7yuaQbNYvG2ybQyd3HBmj74hLiwgrsqnrheiDhZKKTpcg5dG1UgKOqhg1f
hsBoz1J7N3Xz6WKA9ie72YnItGK8Dw+KaNJhlQzMgo2gQMza6eN9G+s/kklNmyIFbjjgPkAOzv2M
s9v0a2WYiHCbadWTpHbGMBP5uYglQHKL/OXUmBhIy1GyxSd2ey28znkAd3CgkDLIG2E0cNQy5qhW
EjxgeOIyyPpnsxLUMjZsIp4PMJvyk2DpQ9HXh2EMC2Jw9XwHccVcLWThjcBWfxuaojjaPDb3uai0
gz326Yori48OIeuOCABkPmV17GwQYKFGz+RSw82BS+Oqo0xh/eWT8alusgiRvKlb0afVN9nOZcD1
HLeyOPeCALWuX6INvJJLwotIduyb8JK6lbNB0lreO7VFXnLBBMxK5byZ4d4smEc9eAqz8SFtERdP
rAUOUzdwqzpOfaxsgihjrwzWxKoywCsTspQS8aBKI8XGFBKRE5pEKAcZ6sJiSH0oh4bfEzwWG213
q6A2KejS+J+TSXaPWVRd+6re9Th/SXmD+s4qJ2ovQcTUWM5Ti4MIziJhnAAPTcwljBqn/h7BATlv
DqPiovredaQLDgYrvwBofNa2Lddj41zalrcsdDXwmfwbiFNp8QJjoeIwEo9Wz/M/MWeVefCZGaha
u8K74n/Rv9cJUbakq58q2+lADRDip3uIkOt0/OGQldwxOV6pQeM3X4l8pTHBJXqOEfqcdS3QMUm+
kkCHL2IsgfNUNjdJpDl+0eTZCvvtuBocB0LuJOcXjZ97myTBjFvSUjuqnuHWjVI4za42PED9fbDb
ICHBnBUXUNh+C9vG2bjkUG9SMRZ3dRM3G8PJQsTa+Xye27Sz0PKOBOcZAdUAgu5ubSe0HytryWud
MqURJBgQFh8nbelPIhjOnpdWGzt10o0XSfnRqvpHpYRY652rjqMdiC07Km+D1ZYKJ+3zq0QGTA4G
I/wRXut7WRXFVsdRyl8eGfyV0WYIMheNJU8CJyHhxA2rD+U+D54ZflYpsbv/pl+i9fz1diKabOGs
oXw0ly39L9vxsqxVlER6dHDNpm/XgTHk9rqNy+nSQH5/GsrW4owrUTQPQjG1K5CTPBZKm3AHZMZn
F6LWuYF9wJoobSVkMXMZfdXLb5/xkcE1NehsxZkcB9hawS6RLFq4RnRgGu8Ol5EhOJrUdB6+NbZI
7yeyAURGy2X38lTFs3s7z116jVzGYRZjdwLu2Sqh9zbb5h1a8WKXiuzntJlKuLXpBGjTIUWIsTxf
3Q8c4OFekDaHYXCmXcf5fqJvGbdZBBR+Fv24h4flHamAB981cVyJjFwHTL/tN0RI1dpG0EswFXgL
DGaM61vqENBQksXQyL3VuiV8DGuuSA1FWrh37VormWwyIc12TABQNI0uzVmtTzK/cazY3Xi1Hfpw
cLTvcBenY9OY1iELSzWvakvX7tPUrjZj2Ur2uo24NgRwP5DDtKFfw9UXs0I1inkJrkmM8pJ7jORd
yM8X2dryudAqdjTCVWiqFciqlolxqIMxqvSo3YrQfYikW6wacluS6dR77VvZGrsuohU3IWWcq+S9
7/G2aoZ7Uxq4DiX4gTWcmOY+0kmUjUo+OOqNVdEtlXU5kH6AID5+w0QHWRknBp1nf2y14t4cuvgc
kYsMklnYV1J49w7IhAPXSsouws6+1U5FDikqdXWYnY6p7FQ1/aYKcYF4eV28JBNLY92s3hlPyFVd
WzRmM8E4Bs/mRSHPf4hD+eEAELsvI9482HLduWHaHW41N2q0lUtrPh/czrCwPfV0Jp/ZZFUvUBpw
rrup46E+s3oSleeqNzmUpRyfvZlh9RoPUvU2Qc97bQO8jw8y0MyCn89R08oGNvJqiDA6u1UrznFU
2O9DEjg+Hm4YHyHOi3cMmAxic7un3TBaufM0BLlO5BCjkif2g2BL9CFgovmpuUwiiYWPGM6n805i
C1plqpO32K/q267sPJpTGDW/y9wN73WrtW4ZQ1ARqIF7vkMlwFg13ti25j4q/Me+FQv7jaqWnRPA
r9DYD7rKjoyRNUItYN3rfpNp6f1QqGFYAZ8R8Uav01jHlrgQKy0KDia2PD1qm45jtQ45seCZ1nOn
VuyvwjN9pcfHaSZc+w5wabhO6n4qk/x5oTx870q721N6tXgzRGmtRKUSGl74K7wIXbGvJm/m9HOJ
wNjQPBffbAlJPZ1ScS6tvL8PE8976Rr8rHFu4WKug/B+1lJKHqHXxQM/RvpozDO/XRVzNc1Wph9t
d6CjVZYktsltnJsozfoCZ4uSG6LqGoI1zdeJ/IIjdmjsAfqUJq8ZedwvUzD86KtO0xl89f3e0Iut
SVw4J5ZM5C5lwfM7TpY6wi8FrBAJppu/kTjTPxhVZr0Eo4Mzx8x7NkthY7oIaYiV2OPXFr/PKek+
XEraK5635D42Au+tatT4aFiLoZzJXwpYw2yoSwoDxXKi99kGMoQZ+kaZdttYzPZHZ1vJvtJYwm4E
FItxI7u0414tQTmsrLGdftfdWjvDvWRfUgSJ8HyzCNKTZiXq1uqcYa1jd/rU8xoauN427jOOm7pl
KG9qgl2WGdJpsKt7MbthwvVRjXGO6K+GV9RyWbzi6s4f5EDo/cDGHZI1JFHo+BbWdCsoiIvzqMTY
cHnNkUOP+EV96seMaZXKJ1btg/l76xAXvB+tIXqfkhLXTB5kPfoRBF/KDEDbZ6nTzCeXGls3qjQ8
TSPHy1YMrfOJ59S4CWK7O0aJWac7aDHzN/bfZrUxWpwmMhxJ3m5kdG3twn0vUT489AYt1Lg8kjRP
6ZjxEIS8hGwkkGa4hF9bqxrH+A0Ye0SfwvDof8Z8IJq2DfPMByYRXgF6MwjQY+0yJSOHvaNHgCzH
OdN+tJ1VEPKQm2xkm0aX59mLsdaDGupvFfETZAIL8Y75fyI5IzHVd/w26cFQdoBsCfzTSzGyM96m
kROSgmhZP8y479dwu9Fe5G1M/JWKnXETYDXp/TpJ1TcDxfwSETvmG/BubulziQ4bL0XgQHXQjBB4
ork9NayoLyAEvHs+n+I8tAZVp93Ur7kajI0biAIfA8VLhQFMVa95W7bKz92WFVGgxXJjhMN4qC1t
2ImcE2CdSEzNqwSEXOgn1VhesKPFly42w73SROOyjEdsX6NZaVaZk/VMhZKU+XEUW0xsirr1vhHl
gMFTls6Tgdj0nT5GlIxIY8vyFYPEiUchrs/1NE7Y31uSEViBv5i6/tBrrXrMe4X9sIPIdyFvTS+v
fTpGezaD8o2Jp8O/mrL2HCNsOyg5oModzealU6L5MYa6m6+1oUSropOlMFtJ+G0aMm6itHeiA36V
CLat40bEdhtFuqUQ1m7D0jPltqtYfEX4vgF5iOip7m3zOBWirY8p6XDIsjok/n5Yu8MZa2V9QSWF
yYABK0li+ejD524Ojt27r4Rdjg815da4NggFOtAq2eHWGEV2gIyd11vGuPl67ng6Vyb+DOeiDKgo
a+DejL/cftrpahBv/VTUB3LC0EsY6egPnjMB/68ttDR0S1RgEciA0PeUNl61GmdqnMnhwxFh+xlW
mQZIMXHzmjiQfqlYOSfeaGd75pVITVaQttW6R+TFAEIODmVRMn0LhyQzfD5i5HaeVyX00lVEAl/e
p5S/ihd7WoW4ttaa46pDMnftoyWzxCCpbSwpzTKB9zQkY8sHzKZuXc0ad6B1llSnbnypShGkl1zL
bZ7hejk3q1ifxJrzHLVfC0jmikWFKqCnE453o7Im6guHrObMoypClmOWG5jKAw9z5s1+pdrwY65n
cWpcd8lHVygmqR7CNFzn8IBO0BAV6oMBZ91xyHotPLgsRKMNiS7T75VH2aZ3Sf40Kk99l+ngHnTN
K56lTKNvXtF3hEmb+rAbdM04lAaYA9seu8NURARes5v7kRrDREcMzJRImhwZ00o1br+ejKDZtqPU
dlxJag35gz5OpxnLTYc2P2SYArbRkR8WBOslbaOSj7NnwOM0aSJDzz460Ma2UwbehaC++aEfJ/2c
MZ1Zm4g1fC9oRkzGY1LeN7YXfJRzBcVa1uoh08eJO7tpum1Xthr9Yivie1K7HfBVUfZseVp/znDD
PpaVUxxoHZcZtVbql9iBe+kVVXDbZLo89rzwj1NL6V9r2bTHR0fuazwWP0rXKS7SrOUjjz2VcGId
DVgTh9EI2pew7a1TbhvzyZkNuK5SdAeY2aSjtaLYmanyG0c+UJPXd8CU1YntE1S+TpT71I7tV53f
3HsgGInTA8ltH1vo7mYjvam6Ir42zoTAgxga6MJ56A8mc4YmMMMfrhU9BaA495asNnmdIWdyvGFV
0meibZM1iq321evZQ6i0GXZe5NUbQC5kaSGcQ5XnPnscWEAfquEgm/jDcOB1MK0gArlOKr8VhPlJ
szuaUUAqNza3U+AmuE6LKF6Fxpj9DqO3uJ0JYfc9QYvA7dDsUSG0e8hK2PJaXJL8fZqtE1vsckjB
Lbk8fxqO/pMF26/LbrwiFi4B3SJ7wSLG2v7FCKRx/BYDB8nB7GNCxYulSnNFGZ6robCGleQRmlbw
wQy8noJwzKlzDsQ9B/82h+Jv+CkdpiTQxWW2yv8Jd9nP/aS2rrtAjTnez8PEviHpm/YdYMVAYmdv
ec3FdQvDvqY6IVYb4gmH+34q6f/IgWuBJvW835HVfxtGzBDP/WTW4TZPPOZnIpK5erPl7Fhrq9Hk
syIb5wrqik/eFtmLq/AEiq+BXD70xrtTjEWxMukanxl/4NBsW/FgosT7qKOAwrtzwydHF91CSQjj
lzYWS0RFb916esxQwO31Z7cOeVDiaLzDgp2Qrcg6dTPNenoiEKxei6kUFBIivAxlXa5adnz3jpNP
J20cBcv6kOuQJetWjNmLKUr9rjXDozMY7qKZaq/OMr6sviaZ8No5ITUozEj2eLXuq6+xZ/g1AkWi
r/+ovgajpqWcT1Rh7nVELXM/h7PxjOJfKV+xEmL8tRTsYys7Un9DN8bLmI1PpGfynGZf1b3xVel7
X1U/Vmw6gLhPpw9Z1Jydeu9ekq8+wWhLsQ+ws/stCSYmgMelnWCaZL8BFst8mXruQQvMp1BO3aEa
6xCHN5PQdJ6kryVeuVDE6FkghNG+uEsnky89DdFX/OPS52DEaaONO3M/J+VEop4x0BEtvZG7dEls
b+N1XeVyZ6qaGeUyEV1xmmjv2VeTNS79FoZG+91bejBz6cYmjfG2IjtuWjHLoV2rvMicH2zZpK/S
zKo33K16ty5ICR3xOCk+JFlm8twiiY92A2ZxGJ6eql7qoLKLTy2yu3gTyS780QrCBK7/+n01/wZL
Z9xCjjgeMpP9hOGavxjJusJOehFxncTUWreVNoZESsZq3dQiPRS57h6UW+fDKujKYDPW5cXNyuAm
GpHD+po9kEvThopp2qyFayYAReUXmBzu6XrKYm0xJ30BJFX1fhgL9WANhK9VJl7nEOn3xnbGC/jP
C4qohQEyGP2N4eZty0JhDD7Yo4ktce/2wY5UeofbZGSkb0NosI0HdIgARoMrwdFEJgUhmDQRbA09
fOAdF2eye25pzAhN0iy958RDaI+Vdu64spVr76NYSZLwbApU7g5931dOdrXtRL+K0oCwWVoyfAQI
WexCwjA32Fm1cDHDD8zeSKo9c7ioq1s3xCRSybQwCiryHjlXvX4jxyw9zkrP2Wgb5KzRgFfFp9M1
wNRSt6OQlO3V9Hr8/eEQrEvBth3iX7b2yIxBd5M5wWvEVuF1lKhkV0Ne1tugTaNdTHhWyq1rOews
khZwxhTuC1fyylk2UsBJ1iSOTXnSf+aBBy8ElXqwoxMu4vXYeNOCXwX96TvAEva2Xgd3Qe9F7zlp
nDukazGy4EK7H5mMMCmIWW3Hsj9mCbwyU4+NM6PFmaeSojNLvPEEulb73SOhecOXa6E2uQX6oMQ1
mfNW6kmfAt6AULh+D70CT2jVR1u767jSZtlvJwfVbm8a8aOGkvibSkCSkoqjR6uyVxxN45DczU27
0AAscZKcUivcQS2qajS1ICScqxMZyVOhN2DqERsg3SP0xTrGQrcymhg7uCG4QN/ZyNx4r71E3FR5
+eB5A6GTGQMK++smArlo3dlaHd4O85jljHf0LvATUbTutUgX4US1LJGMr32S0Y7dvAq+9kz6snKq
merOaIOXTRTiM7ZSXjyhn7ML89342lp57K/Mr01Wg2dq25mD8y372nQVeNXhuMTDEqzG6V2sOd2q
15DpXrwXlm2EZ+KCDH2z3GOfVjeMNd23iX6/XbZtyYKZ8iv0+Z1PZyDsW7Kk60OdkUc9DNI4KBPl
8rpXFs11582MmkiMTZN94tp4aSYGGHJdx0Z5Ep2gnlBfM91xGe/idH9RbgVwtw0fWeG/YODlBTET
NkNOfFTBDFe795xtZZTd8lMTvsim9DRGrIgarZT7Kp0aREv/cJn9k8LiF+UOQhqDwoJDytIxPCFb
+uttrjOZTxmJOgcvJNLNu6i0vqn6u69v8h8twv+fWKm/WPoey5z//RU19f8leWpZUSPiQnj1j0/7
bzvu23gu67e/0Kf+54/9udnGnkfuEBk8f9r2/lxrm7/hCnIFrx7GeiBJLLz/mz9l8SfwDi+OPnSH
zuJQ/lNDZhq/eXBWQfgC0OPPYvb9DzRkf7vBJKAEeK0w1VlpL4Kyvz4ao9HMZL7m/b7orZKioKh2
g1T5rk6Ms8CldoiDnvfFoDEOu+9mYAe3oWRS9dNH9k8eUO8rYuMncRlJN3B2zCX0hpgi60s093PB
KbxQK40ygFOTNtm+dYytJdJtOa/sDijiiQ2osq8BAbpdvGRYMyD2zTC4TahBfFWLxw6rT2PuZ+6F
+Cz04iRwWqxit5W0TyQl2M6pMpCnDj2R1LK9m7oJfjxOQkl8J7uepwEnOBaOzRgUmyRvrmM6XoaU
oDnBNAp0b9AwHM3Di5ZUuZ/I9LGLRb1pRPhmOWm51pl+ryXnYuXrMIw2CG+bdeeCqOaYemma6lFM
YGaDiXR5ccXuLkjGxiTJB9uwCXmJbJaFYTnrWxaIfjnaiFZyYyujcDWZt6VWbm0lyFl/1tKZ+Wry
gN/hSJb73hTOsWBfDDSclaB6GEf56ra4UqYxPXuW1flWiAZ4tEp3L2T8TALEuXbnoz3K72UU7139
d3g0T0yu2Wk5t7Ws7+3A2AEl2DD1WA8m9ioMfiEzc5LMu3SzxIOXWf8ZK2EjgxAGlHH7h+nNwaGR
JrOZWeSciEgfRmc+USPcai5BCKjQMhwe2Ekm+yHPwkOt3zeFs4IEbq9na3hQY3jF+cnckGnVo/BS
gkSnDbGarT0cVSKecqLpfF3DtNI8qGL80efuYWz015mcuolQBT8aqhf809tJxidTCbnNR0YIQblp
He+Jx8tP5ZYD0oK1TsYDSYGbSe/PoRa8YMM69ba4h58MK9npngwBr9D4LPP83Oj9qcPasLK6cF2O
7GnZBsACNotVGlB3jC29Y7syLfDCOm2Cw6OpIvuJFZnuB3rxWTL/xqGWr8smAfFDzGGetB96C7El
0EE8MNZg+LlhrE2HFz0nufFo5c9OXc+XhNyB537OT01q3QVj3+/caZkbAbU6WKa9JkTjRGz92lbF
HlfPi90F31OtvJ3mSyWfGisnAUUtDs1Kv+Mmpegc5kMVJs+WUQwsx8t1n0TXOXBu+lGtSR7c9lJc
rOmudqtbh0D1BngYq7GpvKHv23edEWI5ZVg7BtkmTFruWgjELWMSkl1kunejax8aN0VJMeBhhwOt
I9k8cBxc45h9VxiMz9WMpRKcRzBjWhgKtoSaUd8qz6h5c9IMjKbYTEC4Gjd+Z5WyVemVlf9qqIw7
zCJro7S2mT5/Y0C47wFy1G00+MAPngGyrCwt2/FoOGudsMmDKDuLLZ7erQKMOmVnHCPTofCdn+Le
lGvVOa9Mfp1VyvCUKA64NBQZ+XhxzGZnmuOqmF3nBG5tg9/xw+4tHM/M0qzQvHh6N/iK9R5GswOp
I78XqTrEnfwsUySqYGhh+xNNbZb5FhPIXhb6cMPuGfyrQ9QG4cf3DMab1RzolxBF6aYwrrU9r/RG
55NnKRfq2sGt4ts8LoY1K2igt3W/tSYWmJotr5LqE9Un6oSiekRmtOvR1axiGUGY+C/2zmQ5duTM
0q9S1nvIAAfggC96E4iRwfkGxw2MvOSFY57Hp+8PV62WlFKrSssyq11aMpkkIwI+/Oec77TVZ+mq
rTPL55zZreRfbEWS4rCkGXWeiL/o5slbmruw6N76Oa/QynsdVBTNLuP8wxuRoyZF83Z3LqNwM+TN
hXna3WLXb13mvotOMJUKr825f6vn9CWdvfzQVfwdNMbNRrlrBmROLxaPs2M8Kp+XJwdzysDpisF7
HPR0mW9qupjB2jbJ0fPH04hULoR9WJrql53mh6JPPvwI1yt6BpNWLW5qROdNUVdTYNX+txDe8+SC
72Q8s0NV3df22qTqZO0OI0u6aa3i6C/qQ8AN29St4vPXmTB2sC2IxCCLaF9PDPd3PGG33Wy91Kr4
nD3g9A4pnMDM248k9XgwcKDobnyDSnxPg/fFGP1rc+huF2EOm5brw6Ft0htRRqclcr4BoSJXNxTD
M0m7XnhZjTC84Vy4x2QUYxRhlj+vXF/DcPyAZCJq6BQSqiVQPNWnDv/FDlHmvqkwXOGxxDibGDeO
6RbU/MZf+DEO7ZI9mh1WR4AoDxiMD1Awmk1DWAUtsZHeDWi7U7k4V2OLc6i5kroLUiqJjyXWBG4U
V9J96+30KcxbAHPNgfHRBrZtUJcsQiapg06Hh6qR26p8121xmyvvZWis05SpbZc557HtjuNQMSot
thZka5RHeTLjCftXQoTJ+1GH47bunOMc39Zl9zIzrR/H7EgPfeBn1isQ0TsxDjC4VbTx1CHuQkrb
2/C4GHpFQTcXGXYfTcodQjuYhmXz4pPxdDOmqyPamBLHMeshkl1PzK5xCMUUSDcPxmLfzBMrVzXJ
DVglvNGud+9O+ruaz9Hg7UrPvNMTAa/l1nRh8IMvakz7F+xXJDnAdn1mnTm/UUoc/yK5+qUj586W
3a0tm2OcRhcsdMQvcYW7jXr1E+rV+18dDNh6Zunkjtm6za1bTzyE5SuPyHM9u1de9j746VsyFO8R
zR1tmlz3Zn/nJTKwqTE8iFDfQKV/WawBF0vJSImIuUoob8nvajd/zyMjA4TnfCqvvsW6fSyn+YZb
Zo7V3A4SZR1zu4Xm3X8Q4CWnq3YZrg2KM5ikF5+5PZ+1QS13CBxRbHy3hAGoq5uWPs88A4mXIP7E
P4BS2iwKmsYSluWemoEup4Oh33Uk3Ef7Zkn80yiyO1PF34M/4JmKYjQC9s+SKfqEyQWIiiZLTmc9
yqOqryMnfWgKSWG9fOxzZkA41OK8e9M3RXYt2qcE97ddG/uqTfAptEeLZPnGHuJnL/aYOi1iV2j+
rOSezoOi9w7ZNB4RJb+ozDvrGBGy5gVsxLWTCy6hRPUUAlPUZmdnotzEk8/N1HxCqwt3neOQkhv0
s1sbWKnSbgmmVSQgTfYwMqcPpG4hIJomB5sSmaIc7GDEMJ9i3UYEo5zPce8rLd8QVH6KsH9p8YJg
Y883ntM8U4RzLMfkOfGanYsfWQKkjCYOM8tlQDTvWXjT0A9sN3+sK0ojw/YwW+7OG4xARDdE2RTF
x9M1k8+NDstAjb8ynQeUmXU13eR01oRdfJegyMbzVmZeMD1Oi96XLS28xV2NHL41aLdCNtTsHzFE
6P6xZyvaztxUk/GwqKfIEy/RaD7Gvcl64BNzvaTxahfHExc79wtFI1XTX09m/jBY97nNB6iF5Be/
G6TEJvhzm7LHHJB8jmN3xH19HVdNtDHq6WpSLbXNtfylimfNszmX0dWI/SuhTDxUXCRwHcQdVNM5
2mT+RdKo5zvdRwzLADRlv3VDk3ED54fe8F7SDkFxrp9rssxLbZx6caYmMohXN5XDkXQK5VWdyx9W
fhncXVTOjMGBi9RqNQUpFuv8KcIIF+Bsj6+AKVz3oF45WrYLZMAChoYv85+Gq2E+0ul1QgFvOEM2
qntFcCyf6w6Y4xK7a+Kym38VHZMLlQCUblJ7+BrGMt05qTIPrptwd1hkiJGjZ8Diu9MOQ675UxaZ
fvDtXJ7NOnIjTHIyPypRpc8lPS87QgCEcQfEhxmIyHvOafhIGnQdfEKc3nU0oF/Riyn6AGuO3iG8
8cBm8clah1O4E81vfqT/Ezz88ongZh5zMvTUtSfWjxJo0d7you7O1xRbmkWSn03Da35w3+N8zMFs
IopatA91ntoXYklTYChID3Oix5NptdW5HBwUbAPxy2si9rjFIIk4W/4pwmeCuEUVHvOvqr4pyiTa
sdcgPCOrnwxVtTei8MIrug/aK4VbCJinwdVrahSvO1Omm45Sp6AQ803pi4HzzGwmPyhr8J7NxmRi
XhboRoyZ9hEp1TtnWso3iKjqltlR/cRFh+fHb6P8009k/2pktjti3dTJnTN07sVViX5Utjk/wCOo
bq2RYfvgJNNdUyp9np3nATcrEl5zUEs3PYaIfk8G4dphU8SzeHPxFu6nGgqrw9TqoRm8/naMF8It
bJjv2o29Y172PkUS0/SZNEtx32djd++C37jLeis55fFMCtlVa18GaApd+v0e1yySKef6DfQV/AjD
gqMgFFZQOkmOWhVVh3y9YONtg6xJdBLESDaCa0cSebGR14KJ5ek9cTNxW029jZnEs874MfEqYSwm
4xPfl9P7pOGNgN4Lhi6b7xCd2UmrfB5+tHwyZyvetnN+KCGpbft6+Ymmy+B1bHs658LhEhryyS+W
O1mnbzJelbb8pOmXcxZYok6HuVxO5zpOdmizxDo8N8CsEG0dwjgujjw03NfRqE8DEV5ms86XzNjM
RPLhkFrFOxTQ6LPv6H8sOLmxMTjuxPwehNytHznmoQibl0mUF1E4p9j0bzOn35JBDXRi8xv3h4G8
uNk8W1andpXRvlLoojdzFHOizOVlcIan0LCgi+IxY+K4iXVKGsk4kYaiGyQaTpVVO1sXRN8xL9ZO
o0XczT5+EeFkgISLnao1Q+2xpbeLQ3kbx5teOPuh6fZFS2yz2rX9Cya6TVe2ZzC6mHz9fZQVv6qi
ffrXww77d1Lur8MO35GwRilY5a6J4EfF+h+GLuhknJhcOR5l9sI1Pz4vUz/dTSMKMAUj85Upi/p2
KqPlgfVJP45wgy9W0iZ3TVjLcdPKYnj1saJ+er8flXR9aub1+XHXJ0mvz1S6Pl2oCPXZ+v3Erc9e
uUQp/BT4oysW4KZfn1F/fVqhvSxX4I7a5/D3wzwR9bvqs9S4ikKe9Xl96v31+W9UCXMCVPVNrlp1
GPsRC1QYhf4pCdN5W1hNeE+li9ijE0ZY8llllnW9iUJWHrNDqKyd0b6AU2FdslrO55HW3Q8zKdsf
ZtnmZ19ITNawUe6ihduYWlc6EbqseevqJ9d10F1XRCMqrW+xrpLN3MUnXSGoV7XeIWqxmBLSLdk7
I+yMvxfbPlOwylNfvxcV54zKnNWjQzZ8p6E7PqPgcGFg7ssARY/yXM+jfnBUaf0MlTHtcipD7Sph
k/+9CZR9ah3GdWdo1z0iXHeLct03CJ3Nv8x1L2nWXYV5TvlsrTsN9WpsOryb5SmS7ERIKPlPf92d
2nWfovxDn6apvC7XPUyvuxnm+SdQKvh2/KVdvhgSnrE8KKjLwmqfxyY3X/25h5UBF0O8zK7HUCvv
xfw2qiniqbERq6uIAVTKZ3PXy6GEl8ABThDd22CcvvVAttxqrWP604Qm0c0nz87qfcWl7SgNTdad
mr3ww8ndvjxCSly43GAz3ZNn8PCidL9/IuHDPPBy3Hrs02QL+TAVGlJyWWb3ZZHID78W4pwnLBIH
OfrcV9GcOSlQl1OMG0866adtVg+DnSlwnqZw673Gbl013BaCHrmGgVcu/U2CA20FIk87DEWPmtvm
cTSct6ZglNObEKnihXPlwsd3JpnAZjPtlBFekqS+ZB1ELmNMmi1ejxyXXUEdKBf2by4xLwaC/I3d
K7VrK+cJdysnIEPYOxOjDCssBhHsXtmjP0rj2gfHt2Ojb7ehmcYXD/j+RgJkutIAumIruWBl1Oek
Vumx8Dhm97l5FdlWt6N6aUK7mQYOPV2W4uyV7zH5n6Nvxb/m2QCGXC+aU3HaE3adr+GLm5sx5z8f
+WBg3xpe3d4qrwqKkvaFnBx6nUpxqOes2VqDyjft4hx8XVJVX4yQyc3a3TNMZaxiNh9oWA+cC8XG
lBPahzU+VeX0TGdh8WOkIOBO+Jk+OGQ3/U3Up4AYvEpvs5R+zW6ekYoMyzrYiaz2Pi5RnHVDux8E
z1rpM9cM8ZOTQ529TTS172MxeKfZSlE8luLdteA45y7RhswDkpErm1QAMgQfq7jd1Hk+BY21muMr
4gXkUCh4rpgvQrrFGhKpnKNFZXKdv4dm428jmE9cirnyaz8sn8uw4x2eubWG632gVcOF73NPke1m
bLvCdp4AsRdn/NchZH9lrppKfFOG3pdFfegFWPbCp4AFxcjxEw/ZL6imF2o5KCWzYtIk4Mxvq5K6
k1Ly2mVKf4GMdjdZ0rK1122+5VRAPGWOP+dZvI7ZG/b/m843+UQILDaFd79YJUiftPgl2+VxtkrJ
UbgvSCp2GSYB3xM7Lh3RbduIYWsnLI5Q5zKs7z6bFa0yeCCF+aR42rm9Wj+n0rR3bp08eU12RP9X
O8P2R27GlBCQYtbXkWefZ2/E3WrzfBHnHIlechxgIH07hC7cl94r62PcDeVJC0MfI7gjr4m/XjIj
e94vUzrwfS1tvUHSDct7GKc52R8aLb0e8BSCrrjzuqT6IFFrnyJDgm8ZVXLKOqe9C0uvux/asLjH
Yz19hqw/Z0vU3hHiT/c+rGcr8mH9Lcye7GH8ffJaz2DCgJWEx88gRbuezlhxnSd/PbI16+Gt5xX/
vfH+WwrVP9ee/k6e+q+JWP+NuJQWyyrnHJNw5P9fx8KP8dF1cRt9NH8f0/zrN/9ZzfLRpvAowbX1
wVQClERN/LOg5Zt/QuRSMBNXBrflrl/5q6AFu5KjzoqpXL1Ffw1qWt6fwHyotQAFqy5amP3vCFqe
QjX7e0wBRjhHUBYLQpPM5h9bLqkaA7iaDNPec0ot9ihcDRm4hM6DWZEB3NgVfrkdnW/wtIYonBOy
Juvww5nEZKyuBto+FTztYvx9CSbes+lDgmYoV9mPNB6Ni2uF+hRN8AZkXuhzk3vw/BuXQSheXrXz
7IohZNHqr8EGlxSoOfOhr2LhwY9DZoI+RsTykF7XM8R2B++wkH5AWnF+kFMJTaRZfkS9PWNPPNKR
1ZNUHzDmQJNqztpXRTD5rin23PX7NKAEhMCXl83Yfgsx1rdkfoBY9dli/gjdOHu1pyn6UQr8JNIU
yWftz9EN0QCM0rMxLJ94Zl2uFdB2OozEHyMJq0BZ6clNBO7RxuaMXyYWMULimTACYL3dVUua7AqD
V6cQ0zlCyNhZuRb0ajcCE0kWoZTQA0WC1fpcIwKkjUpKPzadH6fXKCPp5yiJaBBazdRXVBrRkwC0
uG51eBCw3xvC2kZiKLadC2xC2amzMW0qEZIkElcJbwBDZEIJHd6bM4nV5zkuKMv0xES6aYEAEWRJ
YZbBMtUFPjS4WVugKkxH5Zh8xIWTf5siNNWBQTVsiLoYqLoy1czQVoEBqNzWwE2TL/QcqqGLoEMV
mAAiwybVKRhmsM6PiiFIUb3pNmwhhVGFyMo/xWW9QQVmPmWUkLmyHAWA2mZ9tFt+jgWgb6Aqa/RV
ACS5JoniNlzsyrBRjORpezxm2uy/qqYY9d4W5cScxlAHr4cbxdBIzhzVelJJnu2TV8O40z51ji3u
cY0416Hs24sudPkR0TtMXJ5wKrUubAtENv2p+lkzOHhrlYYdzAWXIblKmurd6kmZbhaA6OkhSYrm
h+XZ6t6hoTDcLtWorpO0bO9zXeNO8wuNeKcmv3lgb52eW4ecMql70/iGIeC6W9+ymle00PxTUox1
IMrM10uhxktbFDbHsi4HLtB07CDHEUXRoE9ZF2c2Fc7KmRgPRscZJdLj+KzkWD26XbmcbKtYn9u0
RinQBlYfWlkgXlnKBL3oTjXMCZF+Rjxc67eG2J6dJsvqoxm3SbNzBhBJgxvL+4wyT7Q3J5vMlwhA
3it2JToqzLpc1jgyb6CP1QeE2uwD6LdrM9q0ZjNaG6/2I1RlTQYrlN9hJpY3OBs7i6mdnY/2z3JQ
UFrNNGk+XW8i4oggNr1NQ1KgL+kpIEcwXvCZVNfatylmcB1xVeTZCNgz6viyR9sLTSbty9J6jsb1
i1tX+OPqsu8YC5sL5yMUU9JahF9wfNr4ZCY/PNInx51oXnZlTX39gNdyg6uLXbOmiXMRXvisRJJj
IbU95EGCeIFh9S15nq6p6mCM8nqrlwK2mbOAgw7yccrLnQhTB7ieruPvpK/00+JpfTZTi5KaurMR
2wxHjK8GD4q1r4Xd9JyG6v4ttxPd8Ih0BhJrDPiW24Zb35OXz+c9ag5UwnypcNFz5Nx0nsvC0vey
v63rdMZNU5TAN/O2fW3hLa4W7K80HxJcfg3r9JBl8qxVqklA9AZJjkVhj+pEQjOjgJ2p9DS8OGHU
XNuh1m/W4CXZpnDzZdcLOBl8YEPmiTSVm7B0gaj8JP+THaMcAbaOHbLKxVBesZW4UGbwmX85RgQg
xmiYn/DijeNN3PdRBxMLviP0VlJ0gdGCewucMSE1yN8JxLIHeeKjCUWUMsC1aL9nB1ZFMMKQwdbN
LuMM+bHJm/oqlHGBd55MKAXdlAPSC5ql3UEAAdBMuhHXnFh2zPmWgjsYVoEoxtMmqQVIeyLL/PWm
0275aNa/pnH2r8yOc6YFwptJxzKxOKms+FEYPG6UVkEWy8a6fos9coH4In3/oasa8Tx7Ja59xkDi
2mQA9ISLv36la9e/8hMoP+hJHYFMv4rsu4rayzsJ5+ipnj3INIrLADB1huH2fq4sDoltPNzMXod6
SSw3egYkYKKtc2r9Zdam5Z/5DbW9lTDDkPz82X/ryFJSaQQ854bn1s2PoSNcFobRlRfWpuZ6yFVy
O4al2NPVQNc7AF/8C0bDDSQzYkNDmcysvVGX8XUyh94L86hxk5VTfpcmygwyUaP4QT29B51UBHqx
rPuEFSmwSBg+95GZPlXKrrYWCmZlevalY1hxn2az2PYgcY7IL+aFuIbxLRJqmLGZCAhndmmfEjPh
ck48JrzkZoSJrowvZWka92FJHwV4Sm9ltCTpvZEw+Yugl/QB3FGXoSA4aL2LzaKYufJYqQ5mL0Gg
CDN/Wj8JmV19oOOG+6nsI6QsL+0D4J8j2qzyThgBic1k4/Iz0xzqjaVOGtKbMPZLmbXXeYXIxcgu
fkfVe8uraDlMvZoOYYyc6ck8/gj72dmW/pg++gh+B6NGK2KeWuxrRE2JjieMXTHW/nbuNZK9IM7a
3Hhunr9neliIVFli8ndmllrZHpvxGnWtWFxa2vNOvY67S73A2CmMRt8orp27rgU6mXsR9SRpSd29
2Tr2wWEBCrh6DheXreUBqR6KZTvisUFD8uWuNMf2YyG4dOO3dpjsWBH0aShDfRuZg/hhOn0Frhbi
Hs46UERmNBDCdPVcBxkE1wMmWHFI/Mm/xd0ddeeiXXUGZersRiZUZ5JZDNG70/QRc5H61dSZ7bEr
c5QARl1h6LAoK8PbMTdGFeB1KrL7eHKKdONi+2b/zsfw2LRdjN2B3MmLWGic5FpZ3afVyqxxuDtB
vWgt+0OC78a1kkT6WTqtbvaj8kuDdukGH1OULFsINmF4sLWHeEimbR5PKvTa8tjNiXwZDJ5IZoLD
oxfV9aFLc+tuFFoQB3bbjoucwfJA+Wx0kHnWvZFDKVeut6G2IurjK4JG9VnqlGd1YR597c02MwVZ
j+AfbKN/4AA7YjVXg37VVscgNRuHbtpgRbIvZjLVLwxrqnvVYsSE8w4TsZdoeGxblK+5NWyATdPE
BMjn3PsqHQcvVKfFfGuAa7pSVWEemkVNQ9CMnbHzWg8kJZBMa+uDzvjoGN3MQUtt086Zq+EzEfhj
98om6DLiQj0m/TI+DCla+J//ypp+s6By6oHgh3exYZttxmUkNWCWTH7quKju/TFfzf/5k5tmj2ho
eHVh1F6rXDs8syGZvxSE6KHIXRy9mMu7bcF8ALRkKNVLZXGP34S0J6SBdGj6hGLq28+JDOtrRX3w
oypL+cgIqrrh8pJdt9GcvRp+6CaBhLfyEyuDhjxquLTASs+9nXw5YA3Iuundj2dzvione5iPqaIC
4koXwsq4rcN5R4Rzf4ZZxEikMJlnF1yCqROvyFLTfeWr26KOlqPFzvVtWK38jqKwAUAITxgG02L6
zVbmvNdIInYsDqJU8RPxTbEHPJK8LgbwUlPlDNJIZSj2Nj08W/iNH71ZZLcEopb7Jba7b/v35tuE
yVovDqV3GKPwcdZz+zmVfnvjEam7NGRyrTrCVa/zQX5o8o8kfh1fMyQLaVUkBYGJgESffUcWm6jq
SmDf6HjGwN9mq0QCZJjGrb5PVtsro5OgrUtoFlkv3FczsmrC5nXXYv2JGxw1pln9dIwan0HZMLCh
r/chzsf6hfk0M5jaVccMt+Iznp4ZPXeeopMa+rbbWyOW+iAnMIM6BfT+lBa1eRRejNOa8K+1cedV
21nFAKYjXX8dazuvDqn0OyoaLax/XAnIBTWjOFaTWacbuBNqZ7mac+i8Ul11X1TV1q6YfQdJ6MKp
ZVDLW0dB81WeJ+DaBvy92VaEVnlPOpsOhMxeTzc4DA6uCfrbd6ll3DBSE4/Ms5zjaMni0y+X/H29
ZXf8BKgz296xjR9m3/T3CPXNSzrV8ym17JyjKht+4NpQliurdfnKYHLEMER5bs25ui5VlMH3tHUZ
BmVWJh95mTX6KLo4usOHxJ+QphWwg5Sc20Ov8l8NvmebxwWpv8mSe2PlGm0YoJZUObjuOdKTRS5y
NkyGa2RSJ5HAWfUXIK6EHGXKrHPgQIJujg8xdn2xlQtjHELUsjq2HakGWLexwdVUoxdBhwVa3nQt
bw3HeDNXoAvcsbnq2JE+AGBOMijisA03E/aedlNA9XDwI3ThsBEufcfL2CWA8Vqp11AtEe2Nmcrd
RDvVuRU2dAckt6/ctySzrCnv1mNkXu28Xjd+kMk0PilQyt9TlJY3UYPAz+AyVGgQnvmUu+udovPd
bJv47OIB1e/NndNb9nUOf+SI36c4DmScT0U/6xrMSz49474T5oGwS0nPwRC+d40f1wHQ3eymgNcj
Tjb+vejF6yfG9AOo+vl/hln/pTZgBkurJ/tfzrIuTVwxrPgjbezP3/Z/PdniT7YtSLeBG1trVjw8
8/+PNoYRmgIQugiYU1lAOv9miuW6q/da8i2+tNe8z19s2YKSYQ7fvmv7gnpzxk7/hi2bRMLfT7F8
tEHp2PwPpSTDq8z1638TwKuK1DBmx+ppWqL9sf/9iR39Yz4wuLHU9ErsMWLJ0VlANoqGgrL75sl5
SUBbU/1jPoKyrxkZj18dLIRNSiktrh7Zbw3DgjbO/OFHWpnt2RsixEAfOP4yMP3gZPkgYZ1j+x30
EWEUXSCqbr0qFZs2nqkZKN3XEqWNMMr8WOJPyCuak+aCpsyI21ahEmfDjvhFshwwVCPIjlMQQ1AT
9xTmaI44sHN4DUN+ajS8x3i96YK/ZgFigerWzTyX0T2WXLUFSmmw6uEiseykuK58ZtwdJMqryqjk
tS5Cb9qwoOUjgeX5OVQYteL0Y9QNaMEuo/2om5cbw3PcHUI+iE52k0D3bFeJcPrHfE4OaZM615W0
Jvoz3X6/hHO5BYRDTKi2SLMT9YGfjNfb6n9x8Lxt50jurMb2HghwmoGq9E7XbXqYW5eLtlEXN15S
qsCY2vDTxg94lGhoV7oV1ZYDGJ2bRL9PaWNVV8zI5Gcn5/dmUpo5AntKNQ5w2FXGPxV29dlLZdyE
cqB7c8RPEBNZ2i6Z69wsKaxnNy+/E6tjZEKJ8V1jgrYfIxbBPrFI85qlj+/Pg5GkCygYqm6w0Ezi
0UdKrKowDkp2FWJjffpql/Or41c6GBFINu0qPeXQ7p1VjKpK5hHLKlClKCRx4adHr1TvahWxJJz4
zYIHQe9Hi2DRgNpVrrIX/1V2NMHfnWMvu+CuvXirSOavclkeTfGlDRtkSU8gn9J9e5OsAhsRJ+af
q+i20GOwG1chrkOR8+wkBKliuDd9Ur/weVXf0yrgmauUtwgKPfJV3huqFm9DeNHofpJr4MZECUxW
SXBYxUFcyM6GjeItKybzmHTto7VKiekqKjIEavc5KetnrhOMZKT/OMzqskzJfWHjnUC+x2uhYcq1
Ax6pjRoYHE5TuyYP4OE1h5zm1FMRYm5Gdmyqewc8OscGw9jqJs3uOJVlxOFwa9OtV+1h1jR3kKOG
Kyo942OUgifNtGY5U+1hoSmtp+BTY5aEKO7iunlsE8c/INGCL3PbZytqpx/QgvBbkR05Wl0EPsaR
T2hH4pDGQ/6cJWA4eauoMOXYgikz4WyveiN8w0AKKTsV9XXcteAF51ESLAe/hvTkNlx9w+a7ZPi4
jdBwmWZiJpC5Mz3galPbCmoriYYeinwrryRpljsCcPQtcBDibjvGD6PF4WOuCOiZyZKvgYnlZzcr
FCd4Z3L0SnIGCS0U1WI9hGk3bXvk+VXSK/ediXvXbEMMmDKiM6Yb/SGQFb5V7v20nzFJZVhqcKVS
o9G/zK2ST33Ue0dG2RDR15mRYXrJ3h2AO8QOdIgExM+59tz4ScUVpsRyZRdodxGP2WIZt4CJFhTJ
LHkhavZiaiwgpVwPLjTFVu10X3WD+IYtMjzGoxwpE2mZENuDBMA7lcsVc8iNp7BZI/WP3xx/8juP
zgHoUxg6MAIwAgzBIBpelu4tjgC+k1W3RuOfQyOHUASWhZqHQJEOpQaZTgcQ8OeJliKe3NhOtvmU
IoYP2js7WZ7cj0tYXYdWl9wRxcNOZPbXvYwHAHld/QK2qd9wuGtuQVHgIZsbymNiC9vDegEfkiXh
YsCvkY3z8hjq5WFyi3wrSG9vy3mMT6AhHtiHsN2Be9m7pht9Iulz9ciMSzTVJryqghIKUXR3lCYw
4vWZWNmFz2xOxNcTqLbHOnLKB5fJyCaPyZo0FhMSlJLVZuCH23mxkIcNkNgnBrD9FpqBuw1jHzRu
QwZtMkBaGDlF7GFOmdXg2azCsfsNwbrYKokLACjoQ97In7Hw5yBMsAGTQyCiYVb2Lh0wZdh9u+yG
PmR5YXi5LYvw2XRKdsX1dxAZ9/ooHlVQdkq8+ANPc+YKuYvCRd2kqQYOKAbXWfm10fhpRD1XE0pe
mouo/F9um9zkY8/qa2EPWQeQwr9D0lFgi1ObNhhfjyCydL/H6gtJz0gevclacxMyeWbaJne1IFDE
1eU5L+TBNcZsK9kTCnK16o3IwrKvVfVVTnygZJtdhpqAdjLN47bIzNtlWDDZcI9it0ue2q4RePUM
FTTrO80xNdzbA+K0n7P0dGCxiDV8IvK+D54IeVHpZN5lTNm5hDN+JdcVX01hdB/rmg4PMxrpVBcP
MQiCYMZPE5TAoEggtw7iU1HQseHZx3ZImwsTyA5VJaIxCaDg0Z7KD9NgFZJ5uqVleic793MucGY7
7hf2eZe6UAvLuu1+/Y92W1A7PV/m6vt//6+PL6Ic25i3Mf7Z/cO51UYT/RfS7fbjq/n4j4/ii2pB
5Nv/OH4M31n8z/8vfz79evafxJovBO7gOdJUf9MyyDnWchzlcSJ2GPz5HDz/ouGaHJmRdzmeuau4
y4n5L4df808mh+lVFWZAIkySjP/G4fePXHuijcjAAPRZ0PhFzD+44xLmPBNNVuFuBGmXJNNBOnqP
WQxOtXP4m9fpn+QOV9n578ViHP+oFT4/0MLOIP/ws6LcwOdBBmHHdsvYdXic8/rYpt6+KN09UsNb
brpBN74oe294y12UL2ag7Ve4EBvBcGHK2NT59P8nv9Uf8rr8GvxWtlgzu/zDb8jy3x7+wyoulczr
cFfpedcRLcrkyF1feHsLmsWCGuQZeSChdvvrTD6CVhOu02Rcpm4XOKJ6+Ne/EISmf3ydfMG43bWx
A6h/4PHnGIMMZUbhrl16fYBBcIoK13kEbhreTVqb6KYGynA29M1mkstVXOJ67xaX03Y6OKdFF+9G
U7gPrA4ZoWk/PDsO+49X7HG7guEoxndv+plxDxkgGMiyuJEkB9IRrWtAIXI3ogeRJI2d3ZLi0Qp/
L3pOuWxrtIFCuDdmbWxBHe0rhwaYDAII/DVG01fSeBxF+biE7HugdxgmgpebV8f8duwVplZxFUly
/nV53UpxZGxAnPQVMurJ0Nznh0+jOEs8MBt8i1cVxzXhMNB7HvrhZejTatPMLeGpyTs53XM49ie4
7IBvEBKb/8PeefXGrbVZ+q8czMXc0SA3wyYxmAa6skolqRSs4BuibMnMOfPXz8OydD7L4RyfltHd
GLTvbFksFsMO77vWs+pFUsXQN7xLLDmBDM9jZp9xClMyh2WCetr060UEJN1x48l5ep206VbXJTn0
+saC6DxvknpVhPawUqBCURZZCCTvCna3xijPWt9aVfrnnqobuizYIB0rdvIJigwc451lO1u4xnOZ
gi6LTdotIOeCdgX4Zh6aGZXsbu7FFZeHj3GolRbdVVaacKAx8Cv6pqmtZDZ27ULSmhHI57Tioy8v
RFrsUrhvQWBTesJVpDrb3ODNbGkP0BFQguuIToBSng+5XEHmObQs4Q3jY9FnH6rqE9hRINc0szCh
U59HGrEPSsSXIPwTW67gb81JlWnOVcfMr/EHffBkopwBXTYWsokuFGSYV2IErDknBmwmahenRGJk
nzy9cINZnnPRkjYPcTCk8VMF4+lSjF52cPSAdZdOCxhG/TSfo9+QnXEttUa8tyJB0lrnNQ/kadCY
0h0PfaeEDgdn27tN8oiUIUixMwDLLGZFBAh25ppNcs0sjPLbquSiLoFfzdIOfDdnYfUHk5CeDW1I
3Eh90XpnfpsHO2ABF2ZZWZeEy8mrWiTPKdr/I3D6+0mSx9/4y0ly7jNBBt+pm0jN/vKbzxOjRUKL
SuoIclqb4stU/PlSFpLWO2pBjIwWo/Kr9F1dfYcKCWkTE6Y+FZOA7z5PjPzIsmknUSuyiXUDmP9P
JkaND381W6lUgh2VBjlnoRqInF4XhRrfoo+dhANq2rJ4nxSZvC8kJHYbO9lEhCz7BzrLH91IK5/s
Uk8/dA2cb6v1/WZpVB3R8aRgLqWpOPelRt+7pVm40OwgfjRjr7k7Thr/8zD+3cP4LJjj5v1cbfe+
xsl4iKZn8tU67V+/+yy2096pBknn6Pcsi+fHZLH0/DzKd6YkpoA1HM/lVL58Xqbp2jvDkkJMVU3W
NJbBibys0+x3/IDSILWy6eHmt/7JOk1Oz9u/fAzS0HSdjzfZ0EwKPiSBr59HAvzykhWDWHuhmYBK
ZpmCiZmSH5oaaR6qwSW+ZaDbX+QR0W7RiDhLjQaLzr5B16YzJZm3lR5QYaKFj7m6mPv5+2ZMFymp
bnMpI3PhW0V8IunRf/RJozxRw0Anpaf2lGDujClFLzZ1eJKGxI7mNqiiK0RACKXrYrwQek4eTQHD
LYR1TOQMuo0ZjqJ+qUbdBtpS+eShApvXtNuZhpPAWcSOZp+rdRPsPFvAMhMh/XbZFKtEsKEy6iRY
VnVon4ZgR+eOP5bzAp/uGhOL8xgiIAaWibqI1aprrLOhUa8lMoyLKLeKNXdGLhK9j+TMqLtxiz5X
LBCLVCtB+htcBPjR5O0KVNu2xol2XhyuE7tgYee1A2mrvkGaoGY29mUXhzCDixyipm3kH9UkLs6N
iLrdaH2oHfVszIKQRk+8GYd417ZgIc3h0lfIPDCNZs+a4IxWKOmphgQoXQbr0fIg9WNtpRKiWHGM
ainJ8c71Xb3wI9e6qZF0UgiIW1ddMP1diiw8hQdv4+9JjIWLxAGB2OSDmkJZ6KU4JR7ptBHZgabz
gL+kdD84YW8Cm7Tz/VhpdJlGoVg3MZTbbRkOFVphRT1jKUkFVK11rIx2HakzMWkRraSXm7ZCUMwo
1b5vddOCgOeZETjiEeuDrmg7hk7lJBOF8qnSa5eCuSnsGU8awT5pJ++62BKnhMl1VCF9ferTsAhj
zRw8BoylS5WncoM6bsoHMv10rWZm+qGlUnAhMT+QaaSGH8s8e6jJXnpwnFGu6d1HVwnN5T2lFusW
FFEMB9NXd2lQyF0Yw4ooNMtfQLnauRlcsFbt01VZ6MrGUbtoTQFQXNJBRKMAsDfDUBbxRJsRBlPN
bcg/9qOzuDemPNIIFAHACgKfx5IgA6Cu8raWSAJQvnf+SVYEwzVI2v4k6SptT5e5MSBY5+1BN+1u
60aWQdRFFeKwGusPHdGTOxdx0Yadl35Tqbbiz9CbdRe6EpYfYnrf5TwKx6qYt71iFueOSlTqzO0S
pcSvRWuO9GgF/H5Hf8HtbHzuddSvMQ/yMUSbdPvWspJbIwNlOqsUbkUR9ZQhKo9pmMQGPYNRCtxL
p6C6lSEVBAU32AXDBSCJKBDBeeijrLBhQu+7eqx3Lc2RPa1ItIMC39A1NCZta0R1heai0LJPdHK8
C7UmhWomtFDg6Cqwt/dSLUkAkcopZSHCOTqtyzQ+NA0vBEWtM7cdo31VdnRF3D5d1rGGcd82+o2U
HXjPmnC+Szvv3AtbGkj3EgRfbQ71Avalra9YwdOypkAV7ETo4p/MBmun+VV/qoKjWLNXrnepmndn
PsXLD2aOdIeG8mQxFsP7HG4p2GXUCTdamcC6EmO2djtcRtFQlNdmilIuMJC/BrEWrGWg8W4NXRKd
u17cXUJC7y8H0+xqXriynudQaZEe0ZiQ9UYp1JIifevvIly2GycCQVZLpdhrlpPsAyx9twXYOdgZ
avbU6SiFZiymxcYdbeVaDo24aCth3mpuoZhzLe/CU/oOFd0HGZ7SMuORntKsQXvZpM90+a2ZEbOt
wA68DXxAe4RANaQ34VZd6tqA057tIXvFyF+pld/hLvYq/F8lCh6lEt61IRN35ft2TVaE3Q0nGVnZ
Oy8JxvWQWObadmobCEI5LjwthKoBv/8eiZFcFZVorgoHqxl/dU/yupP3QUfcVuKV/qpmj3IuLDYR
rRVPYAdC2wxNJB8ILaB7YSfJvrHaYI3YG7HIiLI5Cq16mbSljhJKIcadVnKx1PCoGHMzjvxtRFN8
i0asYMdolyfGqCX7nA0NyJ3gkyh7G4lwtSVtmjGeWQ3gzIdcH4seWo688gr4okk/nMBE9G5Ig26f
0koF6lHq/bouJ/6JbEShLa1hpPulkgjiwwXuupUy6FMme6nnu1wq9Xw0KLKWDcEGsV3yRqoCsEgI
aS7BKGHo9yUuYBPN8JmWtZvEI39NBt4Zurlyw1C91AbURklIecPJEyRapVbO4Z6m+bIsazyphF/q
8TbS64rAZbtOZn5I4jR77QZsUR3GJz5NmImV6qXLEtz2zC/LDyyKGZmbTBZzu9NhH40qG9myGgeE
DGJciqIzV6mTtFe6Au9t2SA331AjZQMMPIIGQO/MOsqmI3vJOGmqPUqx/GMOpQIrOakBlPiTbZ9z
eVKeeVR3kKfGPjfO/IqQhAEZI+LHdDjVOrGu9XHc0GMc1ynQAsI33UdkBRyWmO5eVpsuAVljp8oG
hycaLsJxzQyos2ZkwJEU/Qo+SrM1wky9xowCG6BUsBT7EtbkDL83MDvTV40F0meys4Fo+xPJ53Pv
ltZWoxV1y/tR7KSdNxudHBKmmSZ7TGrAWrbICSkW+XgofRPQhp/upwX6LI5R73pt4l5zAxKuqbBJ
LYxK+2AL0h6MqvDPNQ+uAf9RRxjca+tcHbM9JnF1h381ue/oby1bvMXqXFVayBydgKkgrBpNoUPV
73Oi6DpscIX2YBQZBXL+kt2vZ3fBUrNTy1gDN/RPUqLtEJtFMAz93sDA3/eNiso1tSAeOGl2xfoi
SM9iT1H8hZLQsAKap8/9E7XSRnshiiLsLpy+L7edU8aUePTgKWHEwedsEEIe9wXaWN0K3usIZZYh
y13q15p2U8k2XvWCegJ/p96cuH6w0kNBwyAL1CXNcUo8tgg2ahKIZSPRhCMXvJiiOdJcJ3CrrE7K
rM8WDfX4ma32qHZYWqAwirw5BY7+sQv6/jOu2kcEKuUHEOcHK29VJH2Gl104ijfxqxpoRDII5mmm
dzuplzGLVYhPoyFKIPi0UWQFmqGLmZ4qtdG3emHfiLEDySRAlgtiOxYuNvuFX4HljfPKw5Zlpiu/
aoLTME27i1pzlTU5dco1Wr563ZmaRYkutZAlDu4jWnNKi2XprVN/1LkNTXITmBlEQt329mri93Bf
2nqlgKOBWRFb1x45yTs9Zeqch2IMF6ZRxzkWEcfbDopsV5VEBVX2sviohW2/tEl92icBAjJyEOW8
ZIiaAaIyzxvSYOZK7NIhKcCPurHeBPPOJgzdRzlsLsdYR0FAhk42F0Enl76r+quwli7h5FGnnCRO
ZpxKu2zpiffGJukBi7q14y9x7tGxVYS7MYlOBjPTaSD/iSjNkTkDiW67kyB2s73sYpRZjYXVYgIe
BfdmUNaboovyKxUk2qIXSJeMIJUz3IfGLRMdkiCrJOKZ6GyxNMg02IKntzfShVnSQJL8bKeRfWZV
Zvy+jdKElkWqLgvkJACn8AfSTTFWMnRVkqlyaOeR6zDVDPQ7WA3oC+S5/a5S60vkWivWqQR4S4CQ
dGPvFDdbFJ3hn7eD8pC2GO10LzPf6yl+Q8succRmbFpyS1bzXKj9Nqe2tyzdFAdEb8BqbSY5OCoj
YpR4MJD8JXXcXakRkmfVGE1MeLXLN0AvTlvV/ZvcVmF8W+X+dp82Vdy/EpMo9O3CTiW9hR4uIv4J
+qLAoMTFYgcrYYbZgqaX8h5McH9ja5pzP9htfiH80Tu1B1E8uDD3MFOwwKeXJ7w1Mor8ptedcaWa
pDSQnYSQvXSUPYlfwuelDeBHGNwBKnwGSwkww8G9gaRBYVGTwtAgtXWNannKyIpObfLWP3lW5i10
hZQCJYS8Tc/vtikq2oZ1bhJa52j3omkkODkK3LhsswV4DV7ayDTPjTiixWnqpblICns8KX0pP7BS
99amgD2BoviQteaeIOlrmIIASyLkKoQ+Dwtz9IfLtklJqIjGHRhlAMkRllgMJmROsCv1KbLGfTky
bHul+Sjqgq61AhWUyT1hUbhsFS27G0USQxAIbNjopW+1O1fK4cTHWkTUqyesyyyr2osKuuiEsNbc
s8GPxJPZqMFj7o7tIjcUuUQEIa6yMQKkTOWZpDMQAstsaK1TiDzKxhS0hatwzAroI00wosRR+6e2
6u8rfyxwWZjByiiTeGX2RbwCxYAlCVXzTCc25MztTIj2RVLWkpAxdPRN1lZL6AvBxRilzNCIU7cu
+9d9QF+fHAjcyle86M5J7/TdiciM9gS6LMqjYKg+537NUjDpuh7PbGdix2K9QA5NAbFnbgOih/TD
Ors9Lrnj4/JbTCtxZmEW5WFONg0XUqxU9vLEmHVAbPRpJa8fF/X2tL7Xjit9dC3IQ6f1f6fY9c6Z
9gTRtDuIp31CE7eCdqVHblIVkiOWZ05F5AQbjPK417BYmTEYTVsQ/bgbaaaNCWK/bp8cdytggXu0
jz6TtdWJORgVZwJCFcrS8xVotMctj33c/miyTPNNXch+bpeWtu1LE4q4kWNpLyMeXCLEiJkD5HlA
Ai3g3aFVFGlb742+hPxqEyPOIMZ+ayzG67w0rEWs5FeKCIJNrnDBdNpQV+QMGiSMsFKGM9Qrs4yl
8FaC+D5tfTZpRunWhAKHDawzm2XYzOY+QFhStTtRmOa8oTi5d2wYuQX3YAAGyZaRpKZ+Tt+MfSQW
pejMj2oqBWwyyUAJ591x52kdd6HOtCHNNT1aF9MmtZm2q41mebuCHWw+bWWDaVObTNtbTnLa6LLl
LafNL1kE7WSFjK7saWtsKp79kBrFQ4+K/KM1baCbaSs9TpvqdNpeY1dnpw2Efdj40/bbmTbiw3FP
Hk/b82TaqLfTlh0evrzrp218fdzRl9PmPp22+eO04Q8ZpBO35qdtQep6c6wMRFORAGC03JhT4UDU
jbP4qlb3g7bhEZj7qvBlCOJGiT+l/IZCzyYX/OsBtXJwJcIiUNZDbRvbFHlpLVwbTAqsFDHlP2BN
NfeqMTmiNCcgtQk44LolTvyhsn1onWUmvcehbbotgVvQ5m2t2oN7de5ZGGS3up3vmiCtlo1KvAWL
p+6qJFoGTLeSR9zTUKcpJodog6yqYitQh/hkLBKht5XtpfAuB85Kd0TLysod0wPBTwBZ4DoDMRun
gSw6jmlo7hjfxuNYZxzHPX8aAp1pMPzrC6ZNyQWvLtixUshiWkxlLlrLry+YQ8LJYPQDwY4zeT3e
6/fFQbkvrrrz6hLdWXqhxOd//YnGdAu++URNpX08NbMZKuU3n9hRYEG9G7hrPIDuxzirgppstnA4
j/pgFHNW0vlpORS1NdfQYX3UzJGENcONPo+a2YNJGgJ3lYYd9mAhWVEvR1dnDhdEbqhrMsmUuwp2
wQ2h8Ux1Vkpy3jwypA0eNRpKOGVZsdOTEohdOvYnrGQYnyinzCxpXzX9aK9blp8UGxKirw2tWA1V
V5zamTl+wKUKSLVz45O2MO01tFXlfRJ05Q6vZnSJDN87FWCI4JWyIL72HWs8GF0QIsDsejJ/+qC8
RXw5jV+JiP+TS/pT7+BTlg9lMOEtvyCfvadsYiq/+svyqIy4bJ7K4eqpggv4UqWe/uev/vCPX5MT
P1fceXx+Xq3f+mAHf1ar5zefa/XynWPamNi/6x3ZOsoJGjbGpJ84So1fJBXmO2FLm18w8EpJuED/
qtVr7xzeFbpK0J/RA1jGP6nVSzpNr98HBAVIM2hucTjDRNX1+g1UEzUklW9A+aYZlK0hg2QpYxMA
KshHZgNLzXStO15TNV5UpRXwNlQRSjxkjZ62mAIOJ6tM0V53aueQz2jW5qqOleTM7pvJgOHXVxlm
N5T7GWEPGDCxRw3Q2H2Cik45oQRiI4a2zsGHDVHI7vqdlanlKaieNLgwm8ZDXmkRc8F+N5S46qWs
xDL0s/jKSGtzwFM6kH5CAIQulmjTUmdNtPKoz4gFw02LbQ5HDCmH9kZ1UhPKZOuGV21jAo5mWxQR
4ZTeI/LonXkDhP6RL8cba1fu5MnRmxtZWXD8hILuZNYlmrvuzFxC60QBmM06MjRXpmG12Pz1Qmar
YOyMjLRiNzgPao3eReRTp194Mh/VLSu1iYrU9ZQBMBS4cgPLS1c3xsh+cOmWRsAYa3VWPyd3UPmA
N95xqK0PwS5z8W0UVBd2lUBrQwprJoPTXmADXtjxUFPA0SWAzqgsYe5kJMXDO86ah1hEHVjkps6e
BI3oz74hFWXO0hnp4BgMZz3iYuLRTKcqZg1ZBhSR8z7aaIroyHxV2stQL5NPeuIrpPiGvhcvh6JT
7iuim4BzQJrO1kZRWXtFmFRchAEXazZW1PPIX2/jm0yPW9YbtUpcLS2IPMP7Y2ufrVx1plaCFj+M
siZgolEKBxw3m6p1EJQBJYScxsCMKER4SY2rOKdakOcrLccpL8pqchAr+d5vqWDpdQb5J7TV84Jg
BWWGtDHpFrFp2svITPKDWtX9udqGejMfigGtdS6jrVLWYgllKMcFnOOaDdjVzMYhHda1UWSrzNSG
FaTV/k4St3CmeqmzoQhU3fZ5FpCyFNI90kcCHGx1UtW79XitZX2/Tz082EaNyy3SnO4i1Bj148gM
MKcX0Vmjxc6q4Vi0w8i+JIk1XVcVCPLGSNXJ3y2W3ViK5aAEyNMpiE0IAHcL9yzbiMQn9FsnOMNU
/eS21DAoZ7b+HmY1qmYLXNZEsy3aU1YSPPl0rAZ8s9g6ndbUT0Ci5fOuUe1FYAfVaeGiBoUjScXZ
S4k2bZp+q9fpZO8d23mhWlhSLMhfKK8Nrn8kkAdqpjZe6qLFCZpS/eJZ19dkF8h84bN4+2x3Rn3Z
uLkAgWpq1yRwjLdQAKwNkJ+BIlNYyJbNQ57exuwo7khHzm+jrG4+Y8MJb6VmnoCBwtIQcexQZVc5
r+CU7QeUEA+FSKrLNDG0Q+e4hEAWQjrXAnzlPPVjoi3DhC0OkK8BsFAf6gQ16AOlYbqPh24MCWAH
Gme8F6KgZtAiUS87+Gi9F8oLOuHWBzKIq6WfmK63aK2KeqQtMdHnAQmCGKUeZeVSr8oKVUCAU8zh
IpQpxlf4Y/lnERTa7fQg3OijHD/7suvyhd2p8XtySuTlkPSTE5hktd6vk3JOJ6Pje+IKWsTI6x50
gm2UdUNkpLlw4tg9R+PTbAfGiCuXts1T4kc9vUkSNe4iEkHIb2Fo3ujIUmBq6q7+Gd4Txr/K0af0
ykhYN42TgmJo2AXO8QR4rA299GCVBm8/m9kcPwemDDWwWkF7gIz4UrP7Hfv2GlPyGIyrPq8BRKsW
e/TA7cENsC2jI4axigXRin0AbjRsJ+WWam6BeSFmywPbrRk3MXiEglqs30yr1RjKUMRLklsmZGe7
FtWVJ+JiHSBpzWZt0FTXMLimYFPiYdnMWae6FbtXXmwYD9TMom2qju4Hpauu1Tzpd6HXoO8FzhZe
OqUVJRBWo2AGnoPYUVf3mhNWrSjhNYiVoOUGfWdFdn0WF5GPRx6t0UVk9s45EYDswMJRabgQsTFe
dlbldRsR1PU1Hr/4xm89MNah0i3b1pOntFrVS8pp3TZgIbmLBX2pIGoS7KLgAJdR1DsXSToMmzbr
TfCwpQJOpoHaN4vVLlDwOteWssL8FZjzznKKM14FREV+lV16RchirW6tLd7j5NCTw3TA9Qy4GVsy
fC9dLx+1mpRszIviptXIFR6NlIDrwrd3XlnmnzzX6w7I2ihAALeq8XUodLNmY9uVG2uAkkpvJsZ1
rqWfoXGVEZVqaW+wCGP+ZBc3LIRZmSe0uLJd2EX6isA0ruigg62UnYn2fhwoVLDqv8Qoo4AuUe0k
X4E6Y761c4fuHziOyQ5jJsCwu7ajnxtTIPAT4QJiG5rPeovI6UKLGrbRmW0QeYmJh/5aYIQUJYLh
ssRpw8xeVuVlmskEpDz7dOzUoYRkRpF0hyO1YPJqrei8qnpvJf0k2/pmhYXHoBr8KHFeVzOFLaE6
d3U9OHXMoXNWQrTqe0vGwS1zNq4HLGE1vRQna9ljKuZpHNv52sHLRXhWySJflrjhbUimYPtFo5zG
gTuqJ0FbpTfgE3WgZBhVTsdCUY1TPx30uyxXYRzj2j4JKguIvVmlKGamdXqdSXHVq7bYGo4fkQyh
guyzvXg2ZmO3H9OKC+Iw6M4UWdd3JmFOn327He/UrrTWMd6rk2q0MRuOhP44bmHsZAmHkG51Zd3V
ovQRdHc6yyHTMwCYAWqhGgyr7zx2i+guQ2d0xoKtMNYuFRe83JUT75yhsR+cEUpOH1j3pPjk68GK
eqIGDR5nzxgXTpkbN0pILpWPcRxXCOIIGrJ4tN/T/4I+nsdOsKZDET+kntrdCobOHK9UmYPD1EAl
1iN5BmA1+43oY39rBVlzAr/Onoo51tp1lVXQ6FSulDDEYhR07YdBDLDsg8iw5pjtowd7KNOjz9Xe
lK5qn+vgBgRtcrV9cs0KUCEhCyULo6WaB9hS9OqQBrm96Toe/4b9/6lW2zfG4JbrzmmvNdnmdyXB
4+vWKGuI4q3NiBW2prrulSpjbIq9+DrgMbkrerWfEWQybqAHtclS07UAHaHT9luYImC3syavvSXW
cOPeqerhYy7pO0A2DuhLdTGGEaYfdImAYHL8OWxuyrnqxVR7uc0j8MPGrBi28/ghKKyOi+jgAx8E
0+fanVAQo0/4eXjkQzgTKiIbFGVvQY9AYCj33gSUCI5sCUKy9JPG6JqFdmRP5BOGIp+AFPWEpggn
SEWYeeXKI892HhN9dNMZJy6XfDWiJM2TyjyryJ3YJWpnLElHok3iqOy5Uz85SYhGnktM0/vKrvOF
YmnnElvSucVSGdGr2l26E1MjmugaiBEAbdQac+ysOwI4ZNEBxZ+oHM3E59Bov+y8IqEHolQTxSOB
anRWjiwWZyXbmVvzSPwYj/QPMaQKXE0WiPA3Sste6BMqpGCsYwYbzKtc0rla6A2rxJVWpHE7cxXb
wVIxgUfoADvnHbybvScnLgkkFmi0LSHDW5oPxX1ladZ7O7aGHaRsuCZG2lq3lZWZlwx2dG0S8uQe
eIHVlT50xAnSFIOOMnFS5ERMySMTjg3nKRbUWuyt4It/dqw2QfrSeZLqNuvNk7RLILHERyoLqpkK
pOAEa9GriduSxLmeMmoOmrJoKjrvMw8ICeph2jdwqjyP2OWmIuYB7YApsFcbyoEYgOo6xYeCp4o1
+yLHr3wxyrh5wEdH/GdBbOxZY0sa5rZVzyuA2JjJjVa9sCsrfqioYtTQrcIwuahSXyWbtShic2H6
BqgX6JcuuJ2279y5ClFd3/Q5fU7eCAfcSiucOxdJM+EO0kWtEwEGoOZGuR1oamzg/szTQcUcN2p3
VUW1e11bqn3qDFR8aTl5wftMsZPhkmg19K90TI3PVUlHbZ1TYR5WrlrLKYrGxjhCz7DyL2rdYMsR
x7CQKVpqI5MeQFbmquGKdwa0M1jNfl77I2sNRv/T2m83ZZOkp72tG3cMS+aVlTEdBKHrnKbtUF/3
xMhRw4/Hu270JFnzftDjXs1Cajy+GqO2KCwIzMc9//83gsbnL/LDGgnFFmovz7WWfRak9U32XSHl
l/7TXx/oF4suX1S3mAxe1VyO53Ws+vzVYeIDtpnmEdOMsN/hkaYPjDLy+Ad9Ypyl3vOPpXyHOJGi
m6k5xz+UPPi8ry7Tzy7EX3/H70tS3x/n1Rf4lDVpPZWyoFWnr+SeU530Vy7BN0f46hJgY0fJRmLW
l6/oUI36+hI474A4EN9q6F+uEJ3B/5JL8FN/k3RQQ+mAIn/lMnxzlFeXgfgp3PrsTX70JGjvTORs
Fo/Df+2T8M0X+FKhPHn8v/9Ls2iBvfEiaAYKddTCxk8ugvVOoxyNhQcq5vTny7P3n/86/PQiGOjr
v7yj34xV/2BM0Jx3BmG6k0b/h08CF0G1J2/Vl2vgIFn+7/VC0CD5zsjwjwdG692xyGshDz/+4f36
elTQ35FyzLDpPA+M/+0uAuPZJFt/25hgQeSYGn6EuBz/vJ4dgNVSVD8Onl8ehX/wOvzCO/PnXAoP
Ln48TrXBU/VVS+Nv/8PLJPT9AZ4nl+O4wQzy6j9O5oQvh/4yuEx//7dXb9xxAvzqhy8T4vFznn/9
+Qt+/9GvPuvlW7384yZ4Kg/lJzyJx/7N82meHxLm6n8nNwmT6r48PD5V/qtJ0JzyEf51Qt+ZYf98
Cv7y+FX1OoRTYG19+2HJkTiUL4eZLjhdU16mt57t5lAOh/TwcqDjnUSNzeD35iMHyeGTf4h/eKUN
VWfN9daP2B6ADv/xvw9J/n/+OD2gfgteXSEmmGlqeeunnB7KlG5f9PoifZkm33xsntP4mwMT4P32
k94doso/PHZPT/nLwY73VjoWw9lbT/vs8OgPP36HOP5veNovHgNO/+VEpzMX5Nj8hpu5bx6bT/4T
9eNXByeMWHv5hx+6qn7p1d83aXj4+HKc41mjCfoNZ311CA9VTd/31bG/zM9vvZfXQRQFr1KDddU2
f8M9vDkkQQwI4LH5+qxx51vM8m8966Nt7UdDy/OE/dbj3z1V9R+zp9Q7xC8nO91PTOfabzj7swOD
OQNW/RoN9rzsfOu5r4mlLA/11+f95+bmzcfOXr2V03GRHr181H/81WFWPiSH9As7IviUfYQecVLF
uBKrl4NP159dg6ZNq9K3fo9/p8j+8+kJshuSqt8xUP5lJvfPsRu/NNz8NVzujQf/RyiPN37WBAuZ
bvXLbZ3uNHcAfdYkDnnrrT6bivPN65XBl4P/hkHu7MljjXMYXr0Vz+f+GxaTi6fYD14uwb8ui/Eb
3rjFn+/bIng1Qn85e+M3zId/63R/43PzK0khb/yIX7BHv/ET/lbS9cbj3zzxannfrvEtDQ0WBZiX
Z+s/PnLvDo/Yx1+OcxyksWOrQHjY9KJ3JDBZ/w0v2o/Hoz+YN/746ZMsWTNCSWAgMTSTHbg2cQr+
ejj50X7zz0rt97vQlwrsj37t9RZ7+h+f4qdD+W//DwAA//8=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594360</xdr:colOff>
      <xdr:row>7</xdr:row>
      <xdr:rowOff>11430</xdr:rowOff>
    </xdr:from>
    <xdr:to>
      <xdr:col>13</xdr:col>
      <xdr:colOff>434340</xdr:colOff>
      <xdr:row>22</xdr:row>
      <xdr:rowOff>11430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EF4309AD-D5B5-39E2-7DC3-086B0A8DC0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39640" y="1291590"/>
              <a:ext cx="410718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464820</xdr:colOff>
      <xdr:row>6</xdr:row>
      <xdr:rowOff>41910</xdr:rowOff>
    </xdr:from>
    <xdr:to>
      <xdr:col>13</xdr:col>
      <xdr:colOff>160020</xdr:colOff>
      <xdr:row>21</xdr:row>
      <xdr:rowOff>41910</xdr:rowOff>
    </xdr:to>
    <xdr:graphicFrame macro="">
      <xdr:nvGraphicFramePr>
        <xdr:cNvPr id="2" name="Chart 1">
          <a:extLst>
            <a:ext uri="{FF2B5EF4-FFF2-40B4-BE49-F238E27FC236}">
              <a16:creationId xmlns:a16="http://schemas.microsoft.com/office/drawing/2014/main" id="{6AEEDA2E-8C2B-B25D-0747-25248D63C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22860</xdr:colOff>
      <xdr:row>2</xdr:row>
      <xdr:rowOff>53340</xdr:rowOff>
    </xdr:from>
    <xdr:to>
      <xdr:col>6</xdr:col>
      <xdr:colOff>22860</xdr:colOff>
      <xdr:row>15</xdr:row>
      <xdr:rowOff>142875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B9DA9D89-9CE8-B7BF-12A3-B210C845EE3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29362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91440</xdr:colOff>
      <xdr:row>6</xdr:row>
      <xdr:rowOff>41910</xdr:rowOff>
    </xdr:from>
    <xdr:to>
      <xdr:col>14</xdr:col>
      <xdr:colOff>396240</xdr:colOff>
      <xdr:row>21</xdr:row>
      <xdr:rowOff>41910</xdr:rowOff>
    </xdr:to>
    <xdr:graphicFrame macro="">
      <xdr:nvGraphicFramePr>
        <xdr:cNvPr id="4" name="Chart 3">
          <a:extLst>
            <a:ext uri="{FF2B5EF4-FFF2-40B4-BE49-F238E27FC236}">
              <a16:creationId xmlns:a16="http://schemas.microsoft.com/office/drawing/2014/main" id="{A0890F2E-10FD-1C82-21DB-62915D972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15240</xdr:colOff>
      <xdr:row>6</xdr:row>
      <xdr:rowOff>41910</xdr:rowOff>
    </xdr:from>
    <xdr:to>
      <xdr:col>14</xdr:col>
      <xdr:colOff>320040</xdr:colOff>
      <xdr:row>21</xdr:row>
      <xdr:rowOff>41910</xdr:rowOff>
    </xdr:to>
    <xdr:graphicFrame macro="">
      <xdr:nvGraphicFramePr>
        <xdr:cNvPr id="2" name="Chart 1">
          <a:extLst>
            <a:ext uri="{FF2B5EF4-FFF2-40B4-BE49-F238E27FC236}">
              <a16:creationId xmlns:a16="http://schemas.microsoft.com/office/drawing/2014/main" id="{7C7E2B0A-B8B6-7EB2-4147-19EE74183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45720</xdr:colOff>
      <xdr:row>6</xdr:row>
      <xdr:rowOff>41910</xdr:rowOff>
    </xdr:from>
    <xdr:to>
      <xdr:col>14</xdr:col>
      <xdr:colOff>350520</xdr:colOff>
      <xdr:row>21</xdr:row>
      <xdr:rowOff>41910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B1D4B6F3-82C0-FCEC-7A47-D8DE492DEB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487680</xdr:colOff>
      <xdr:row>19</xdr:row>
      <xdr:rowOff>64770</xdr:rowOff>
    </xdr:from>
    <xdr:to>
      <xdr:col>13</xdr:col>
      <xdr:colOff>182880</xdr:colOff>
      <xdr:row>34</xdr:row>
      <xdr:rowOff>64770</xdr:rowOff>
    </xdr:to>
    <xdr:graphicFrame macro="">
      <xdr:nvGraphicFramePr>
        <xdr:cNvPr id="2" name="Chart 1">
          <a:extLst>
            <a:ext uri="{FF2B5EF4-FFF2-40B4-BE49-F238E27FC236}">
              <a16:creationId xmlns:a16="http://schemas.microsoft.com/office/drawing/2014/main" id="{49089265-03E5-D8D3-3DA3-10AE87554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mali" refreshedDate="46145.652195717594" createdVersion="8" refreshedVersion="8" minRefreshableVersion="3" recordCount="500" xr:uid="{2AED519B-9A90-463C-961A-961B06F35D26}">
  <cacheSource type="worksheet">
    <worksheetSource name="SalesData"/>
  </cacheSource>
  <cacheFields count="11">
    <cacheField name="Order Date" numFmtId="14">
      <sharedItems containsSemiMixedTypes="0" containsNonDate="0" containsDate="1" containsString="0" minDate="2021-01-11T00:00:00" maxDate="2024-12-30T00:00:00"/>
    </cacheField>
    <cacheField name="Year" numFmtId="1">
      <sharedItems containsSemiMixedTypes="0" containsString="0" containsNumber="1" containsInteger="1" minValue="2021" maxValue="2024" count="4">
        <n v="2021"/>
        <n v="2022"/>
        <n v="2023"/>
        <n v="2024"/>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10">
        <s v="Pooja More"/>
        <s v="Karan Desai"/>
        <s v="Anjali Gupta"/>
        <s v="Neha Kulkarni"/>
        <s v="Rahul Verma"/>
        <s v="Priya Patil"/>
        <s v="Vikram Singh"/>
        <s v="Sneha Joshi"/>
        <s v="Rohan Yadav"/>
        <s v="Amit Sharma"/>
      </sharedItems>
    </cacheField>
    <cacheField name="State" numFmtId="0">
      <sharedItems count="6">
        <s v="Delhi"/>
        <s v="Maharashtra"/>
        <s v="Gujarat"/>
        <s v="Uttar Pradesh"/>
        <s v="Karnataka"/>
        <s v="Rajasthan"/>
      </sharedItems>
    </cacheField>
    <cacheField name="Category" numFmtId="0">
      <sharedItems count="3">
        <s v="Technology"/>
        <s v="Office Supplies"/>
        <s v="Furniture"/>
      </sharedItems>
    </cacheField>
    <cacheField name="Sub-Category" numFmtId="0">
      <sharedItems count="14">
        <s v="Phones"/>
        <s v="Printers"/>
        <s v="Storage"/>
        <s v="Bookcases"/>
        <s v="Tables"/>
        <s v="Pens"/>
        <s v="Paper"/>
        <s v="Binders"/>
        <s v="Laptops"/>
        <s v="Beds"/>
        <s v="Monitors"/>
        <s v="Sofas"/>
        <s v="Accessories"/>
        <s v="Chairs"/>
      </sharedItems>
    </cacheField>
    <cacheField name="Product Name" numFmtId="0">
      <sharedItems/>
    </cacheField>
    <cacheField name="Sales" numFmtId="164">
      <sharedItems containsSemiMixedTypes="0" containsString="0" containsNumber="1" containsInteger="1" minValue="368" maxValue="59976"/>
    </cacheField>
    <cacheField name="Quantity" numFmtId="1">
      <sharedItems containsSemiMixedTypes="0" containsString="0" containsNumber="1" containsInteger="1" minValue="1" maxValue="10"/>
    </cacheField>
    <cacheField name="Profit" numFmtId="2">
      <sharedItems containsSemiMixedTypes="0" containsString="0" containsNumber="1" minValue="28.41" maxValue="11368.33"/>
    </cacheField>
  </cacheFields>
  <extLst>
    <ext xmlns:x14="http://schemas.microsoft.com/office/spreadsheetml/2009/9/main" uri="{725AE2AE-9491-48be-B2B4-4EB974FC3084}">
      <x14:pivotCacheDefinition pivotCacheId="3325492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mali" refreshedDate="46145.689760185189" createdVersion="8" refreshedVersion="8" minRefreshableVersion="3" recordCount="40" xr:uid="{54105541-1C95-4531-863A-A20CE8FE6487}">
  <cacheSource type="worksheet">
    <worksheetSource name="CustomerCount"/>
  </cacheSource>
  <cacheFields count="2">
    <cacheField name="Year" numFmtId="0">
      <sharedItems containsSemiMixedTypes="0" containsString="0" containsNumber="1" containsInteger="1" minValue="2021" maxValue="2024" count="4">
        <n v="2021"/>
        <n v="2022"/>
        <n v="2023"/>
        <n v="2024"/>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1-01-11T00:00:00"/>
    <x v="0"/>
    <x v="0"/>
    <x v="0"/>
    <x v="0"/>
    <x v="0"/>
    <x v="0"/>
    <s v="Samsung Galaxy"/>
    <n v="36267"/>
    <n v="3"/>
    <n v="4026.95"/>
  </r>
  <r>
    <d v="2021-01-13T00:00:00"/>
    <x v="0"/>
    <x v="0"/>
    <x v="1"/>
    <x v="1"/>
    <x v="0"/>
    <x v="1"/>
    <s v="HP Printer"/>
    <n v="12088"/>
    <n v="3"/>
    <n v="1631.25"/>
  </r>
  <r>
    <d v="2021-01-17T00:00:00"/>
    <x v="0"/>
    <x v="0"/>
    <x v="0"/>
    <x v="2"/>
    <x v="1"/>
    <x v="2"/>
    <s v="Plastic Box"/>
    <n v="37288"/>
    <n v="1"/>
    <n v="6957.66"/>
  </r>
  <r>
    <d v="2021-01-26T00:00:00"/>
    <x v="0"/>
    <x v="0"/>
    <x v="2"/>
    <x v="3"/>
    <x v="2"/>
    <x v="3"/>
    <s v="Wooden Bookcase"/>
    <n v="46374"/>
    <n v="9"/>
    <n v="7657.71"/>
  </r>
  <r>
    <d v="2021-01-29T00:00:00"/>
    <x v="0"/>
    <x v="0"/>
    <x v="3"/>
    <x v="3"/>
    <x v="0"/>
    <x v="0"/>
    <s v="iPhone"/>
    <n v="17531"/>
    <n v="9"/>
    <n v="1201.55"/>
  </r>
  <r>
    <d v="2021-02-09T00:00:00"/>
    <x v="0"/>
    <x v="1"/>
    <x v="4"/>
    <x v="4"/>
    <x v="2"/>
    <x v="4"/>
    <s v="Dining Table"/>
    <n v="15169"/>
    <n v="4"/>
    <n v="2413.0100000000002"/>
  </r>
  <r>
    <d v="2021-02-10T00:00:00"/>
    <x v="0"/>
    <x v="1"/>
    <x v="2"/>
    <x v="4"/>
    <x v="2"/>
    <x v="4"/>
    <s v="Study Table"/>
    <n v="34701"/>
    <n v="8"/>
    <n v="1738.61"/>
  </r>
  <r>
    <d v="2021-02-11T00:00:00"/>
    <x v="0"/>
    <x v="1"/>
    <x v="0"/>
    <x v="3"/>
    <x v="0"/>
    <x v="1"/>
    <s v="HP Printer"/>
    <n v="22342"/>
    <n v="5"/>
    <n v="2159.1799999999998"/>
  </r>
  <r>
    <d v="2021-02-14T00:00:00"/>
    <x v="0"/>
    <x v="1"/>
    <x v="0"/>
    <x v="4"/>
    <x v="1"/>
    <x v="5"/>
    <s v="Ball Pens Set"/>
    <n v="4425"/>
    <n v="4"/>
    <n v="820.28"/>
  </r>
  <r>
    <d v="2021-02-20T00:00:00"/>
    <x v="0"/>
    <x v="1"/>
    <x v="5"/>
    <x v="1"/>
    <x v="1"/>
    <x v="6"/>
    <s v="A4 Paper Pack"/>
    <n v="31838"/>
    <n v="2"/>
    <n v="3002.8"/>
  </r>
  <r>
    <d v="2021-02-26T00:00:00"/>
    <x v="0"/>
    <x v="1"/>
    <x v="6"/>
    <x v="1"/>
    <x v="1"/>
    <x v="2"/>
    <s v="Plastic Box"/>
    <n v="7759"/>
    <n v="5"/>
    <n v="595.78"/>
  </r>
  <r>
    <d v="2021-02-28T00:00:00"/>
    <x v="0"/>
    <x v="1"/>
    <x v="2"/>
    <x v="2"/>
    <x v="1"/>
    <x v="5"/>
    <s v="Ball Pens Set"/>
    <n v="5523"/>
    <n v="1"/>
    <n v="1061.97"/>
  </r>
  <r>
    <d v="2021-03-01T00:00:00"/>
    <x v="0"/>
    <x v="2"/>
    <x v="4"/>
    <x v="2"/>
    <x v="1"/>
    <x v="2"/>
    <s v="Plastic Box"/>
    <n v="41489"/>
    <n v="10"/>
    <n v="7048.86"/>
  </r>
  <r>
    <d v="2021-03-02T00:00:00"/>
    <x v="0"/>
    <x v="2"/>
    <x v="7"/>
    <x v="4"/>
    <x v="1"/>
    <x v="2"/>
    <s v="Plastic Box"/>
    <n v="25282"/>
    <n v="7"/>
    <n v="1919.44"/>
  </r>
  <r>
    <d v="2021-03-02T00:00:00"/>
    <x v="0"/>
    <x v="2"/>
    <x v="0"/>
    <x v="5"/>
    <x v="2"/>
    <x v="3"/>
    <s v="Wooden Bookcase"/>
    <n v="58904"/>
    <n v="5"/>
    <n v="3462.89"/>
  </r>
  <r>
    <d v="2021-03-05T00:00:00"/>
    <x v="0"/>
    <x v="2"/>
    <x v="2"/>
    <x v="4"/>
    <x v="1"/>
    <x v="7"/>
    <s v="Ring Binder"/>
    <n v="16405"/>
    <n v="4"/>
    <n v="2885.38"/>
  </r>
  <r>
    <d v="2021-03-07T00:00:00"/>
    <x v="0"/>
    <x v="2"/>
    <x v="8"/>
    <x v="5"/>
    <x v="1"/>
    <x v="7"/>
    <s v="Ring Binder"/>
    <n v="2152"/>
    <n v="2"/>
    <n v="178.18"/>
  </r>
  <r>
    <d v="2021-03-07T00:00:00"/>
    <x v="0"/>
    <x v="2"/>
    <x v="9"/>
    <x v="4"/>
    <x v="0"/>
    <x v="8"/>
    <s v="Dell Inspiron"/>
    <n v="53249"/>
    <n v="7"/>
    <n v="7574.06"/>
  </r>
  <r>
    <d v="2021-03-08T00:00:00"/>
    <x v="0"/>
    <x v="2"/>
    <x v="5"/>
    <x v="0"/>
    <x v="1"/>
    <x v="6"/>
    <s v="A4 Paper Pack"/>
    <n v="29673"/>
    <n v="5"/>
    <n v="3035.15"/>
  </r>
  <r>
    <d v="2021-03-13T00:00:00"/>
    <x v="0"/>
    <x v="2"/>
    <x v="3"/>
    <x v="2"/>
    <x v="2"/>
    <x v="9"/>
    <s v="King Size Bed"/>
    <n v="8472"/>
    <n v="2"/>
    <n v="723.5"/>
  </r>
  <r>
    <d v="2021-03-18T00:00:00"/>
    <x v="0"/>
    <x v="2"/>
    <x v="5"/>
    <x v="2"/>
    <x v="0"/>
    <x v="8"/>
    <s v="HP Pavilion"/>
    <n v="807"/>
    <n v="5"/>
    <n v="109.1"/>
  </r>
  <r>
    <d v="2021-03-18T00:00:00"/>
    <x v="0"/>
    <x v="2"/>
    <x v="2"/>
    <x v="5"/>
    <x v="1"/>
    <x v="2"/>
    <s v="Plastic Box"/>
    <n v="11485"/>
    <n v="5"/>
    <n v="1268.47"/>
  </r>
  <r>
    <d v="2021-03-19T00:00:00"/>
    <x v="0"/>
    <x v="2"/>
    <x v="9"/>
    <x v="2"/>
    <x v="0"/>
    <x v="10"/>
    <s v="LG Monitor"/>
    <n v="35181"/>
    <n v="4"/>
    <n v="5614.85"/>
  </r>
  <r>
    <d v="2021-03-22T00:00:00"/>
    <x v="0"/>
    <x v="2"/>
    <x v="8"/>
    <x v="5"/>
    <x v="2"/>
    <x v="9"/>
    <s v="King Size Bed"/>
    <n v="16436"/>
    <n v="8"/>
    <n v="3264.98"/>
  </r>
  <r>
    <d v="2021-03-22T00:00:00"/>
    <x v="0"/>
    <x v="2"/>
    <x v="0"/>
    <x v="2"/>
    <x v="0"/>
    <x v="1"/>
    <s v="HP Printer"/>
    <n v="36122"/>
    <n v="8"/>
    <n v="6738.69"/>
  </r>
  <r>
    <d v="2021-03-28T00:00:00"/>
    <x v="0"/>
    <x v="2"/>
    <x v="1"/>
    <x v="2"/>
    <x v="0"/>
    <x v="1"/>
    <s v="HP Printer"/>
    <n v="47832"/>
    <n v="6"/>
    <n v="6803.04"/>
  </r>
  <r>
    <d v="2021-03-29T00:00:00"/>
    <x v="0"/>
    <x v="2"/>
    <x v="2"/>
    <x v="0"/>
    <x v="2"/>
    <x v="3"/>
    <s v="Wooden Bookcase"/>
    <n v="30411"/>
    <n v="1"/>
    <n v="2286.86"/>
  </r>
  <r>
    <d v="2021-04-03T00:00:00"/>
    <x v="0"/>
    <x v="3"/>
    <x v="5"/>
    <x v="1"/>
    <x v="0"/>
    <x v="0"/>
    <s v="Samsung Galaxy"/>
    <n v="2638"/>
    <n v="5"/>
    <n v="525.99"/>
  </r>
  <r>
    <d v="2021-04-03T00:00:00"/>
    <x v="0"/>
    <x v="3"/>
    <x v="8"/>
    <x v="1"/>
    <x v="2"/>
    <x v="4"/>
    <s v="Study Table"/>
    <n v="27967"/>
    <n v="6"/>
    <n v="4336.5"/>
  </r>
  <r>
    <d v="2021-04-04T00:00:00"/>
    <x v="0"/>
    <x v="3"/>
    <x v="5"/>
    <x v="4"/>
    <x v="1"/>
    <x v="6"/>
    <s v="A4 Paper Pack"/>
    <n v="43536"/>
    <n v="4"/>
    <n v="7225.25"/>
  </r>
  <r>
    <d v="2021-04-04T00:00:00"/>
    <x v="0"/>
    <x v="3"/>
    <x v="9"/>
    <x v="2"/>
    <x v="0"/>
    <x v="1"/>
    <s v="HP Printer"/>
    <n v="37065"/>
    <n v="4"/>
    <n v="5974.43"/>
  </r>
  <r>
    <d v="2021-04-07T00:00:00"/>
    <x v="0"/>
    <x v="3"/>
    <x v="3"/>
    <x v="3"/>
    <x v="2"/>
    <x v="11"/>
    <s v="Leather Sofa"/>
    <n v="22771"/>
    <n v="7"/>
    <n v="3822.58"/>
  </r>
  <r>
    <d v="2021-04-09T00:00:00"/>
    <x v="0"/>
    <x v="3"/>
    <x v="4"/>
    <x v="0"/>
    <x v="0"/>
    <x v="0"/>
    <s v="Samsung Galaxy"/>
    <n v="25492"/>
    <n v="8"/>
    <n v="4075.86"/>
  </r>
  <r>
    <d v="2021-04-14T00:00:00"/>
    <x v="0"/>
    <x v="3"/>
    <x v="4"/>
    <x v="5"/>
    <x v="2"/>
    <x v="4"/>
    <s v="Study Table"/>
    <n v="51763"/>
    <n v="6"/>
    <n v="4479.33"/>
  </r>
  <r>
    <d v="2021-04-16T00:00:00"/>
    <x v="0"/>
    <x v="3"/>
    <x v="2"/>
    <x v="1"/>
    <x v="0"/>
    <x v="0"/>
    <s v="Samsung Galaxy"/>
    <n v="17793"/>
    <n v="7"/>
    <n v="2687.65"/>
  </r>
  <r>
    <d v="2021-04-26T00:00:00"/>
    <x v="0"/>
    <x v="3"/>
    <x v="8"/>
    <x v="0"/>
    <x v="0"/>
    <x v="12"/>
    <s v="Keyboard"/>
    <n v="33968"/>
    <n v="3"/>
    <n v="2032.73"/>
  </r>
  <r>
    <d v="2021-04-28T00:00:00"/>
    <x v="0"/>
    <x v="3"/>
    <x v="8"/>
    <x v="4"/>
    <x v="1"/>
    <x v="7"/>
    <s v="Ring Binder"/>
    <n v="3486"/>
    <n v="10"/>
    <n v="423.61"/>
  </r>
  <r>
    <d v="2021-04-29T00:00:00"/>
    <x v="0"/>
    <x v="3"/>
    <x v="5"/>
    <x v="0"/>
    <x v="1"/>
    <x v="2"/>
    <s v="Plastic Box"/>
    <n v="16222"/>
    <n v="2"/>
    <n v="3061"/>
  </r>
  <r>
    <d v="2021-05-04T00:00:00"/>
    <x v="0"/>
    <x v="4"/>
    <x v="8"/>
    <x v="0"/>
    <x v="0"/>
    <x v="8"/>
    <s v="Dell Inspiron"/>
    <n v="51926"/>
    <n v="7"/>
    <n v="6542.24"/>
  </r>
  <r>
    <d v="2021-05-05T00:00:00"/>
    <x v="0"/>
    <x v="4"/>
    <x v="5"/>
    <x v="0"/>
    <x v="0"/>
    <x v="12"/>
    <s v="Keyboard"/>
    <n v="26292"/>
    <n v="5"/>
    <n v="2063.17"/>
  </r>
  <r>
    <d v="2021-05-12T00:00:00"/>
    <x v="0"/>
    <x v="4"/>
    <x v="7"/>
    <x v="5"/>
    <x v="2"/>
    <x v="4"/>
    <s v="Study Table"/>
    <n v="22356"/>
    <n v="1"/>
    <n v="3090.63"/>
  </r>
  <r>
    <d v="2021-05-15T00:00:00"/>
    <x v="0"/>
    <x v="4"/>
    <x v="1"/>
    <x v="2"/>
    <x v="1"/>
    <x v="7"/>
    <s v="Ring Binder"/>
    <n v="21806"/>
    <n v="2"/>
    <n v="2915.34"/>
  </r>
  <r>
    <d v="2021-05-22T00:00:00"/>
    <x v="0"/>
    <x v="4"/>
    <x v="4"/>
    <x v="3"/>
    <x v="2"/>
    <x v="13"/>
    <s v="Plastic Chair"/>
    <n v="50046"/>
    <n v="9"/>
    <n v="8251.34"/>
  </r>
  <r>
    <d v="2021-06-02T00:00:00"/>
    <x v="0"/>
    <x v="5"/>
    <x v="1"/>
    <x v="4"/>
    <x v="2"/>
    <x v="9"/>
    <s v="King Size Bed"/>
    <n v="53808"/>
    <n v="1"/>
    <n v="8859.5300000000007"/>
  </r>
  <r>
    <d v="2021-06-03T00:00:00"/>
    <x v="0"/>
    <x v="5"/>
    <x v="3"/>
    <x v="2"/>
    <x v="0"/>
    <x v="10"/>
    <s v="LG Monitor"/>
    <n v="49445"/>
    <n v="8"/>
    <n v="4850.3100000000004"/>
  </r>
  <r>
    <d v="2021-06-04T00:00:00"/>
    <x v="0"/>
    <x v="5"/>
    <x v="1"/>
    <x v="5"/>
    <x v="0"/>
    <x v="0"/>
    <s v="iPhone"/>
    <n v="9424"/>
    <n v="4"/>
    <n v="1687.09"/>
  </r>
  <r>
    <d v="2021-06-05T00:00:00"/>
    <x v="0"/>
    <x v="5"/>
    <x v="2"/>
    <x v="0"/>
    <x v="2"/>
    <x v="11"/>
    <s v="Leather Sofa"/>
    <n v="22521"/>
    <n v="10"/>
    <n v="3723.87"/>
  </r>
  <r>
    <d v="2021-06-09T00:00:00"/>
    <x v="0"/>
    <x v="5"/>
    <x v="8"/>
    <x v="5"/>
    <x v="1"/>
    <x v="2"/>
    <s v="Plastic Box"/>
    <n v="37173"/>
    <n v="2"/>
    <n v="2203.0100000000002"/>
  </r>
  <r>
    <d v="2021-06-14T00:00:00"/>
    <x v="0"/>
    <x v="5"/>
    <x v="3"/>
    <x v="5"/>
    <x v="1"/>
    <x v="2"/>
    <s v="Plastic Box"/>
    <n v="39392"/>
    <n v="1"/>
    <n v="7225.02"/>
  </r>
  <r>
    <d v="2021-06-15T00:00:00"/>
    <x v="0"/>
    <x v="5"/>
    <x v="4"/>
    <x v="2"/>
    <x v="2"/>
    <x v="3"/>
    <s v="Wooden Bookcase"/>
    <n v="32154"/>
    <n v="6"/>
    <n v="4651.2299999999996"/>
  </r>
  <r>
    <d v="2021-06-19T00:00:00"/>
    <x v="0"/>
    <x v="5"/>
    <x v="3"/>
    <x v="5"/>
    <x v="1"/>
    <x v="7"/>
    <s v="Ring Binder"/>
    <n v="32958"/>
    <n v="7"/>
    <n v="4836.13"/>
  </r>
  <r>
    <d v="2021-06-23T00:00:00"/>
    <x v="0"/>
    <x v="5"/>
    <x v="1"/>
    <x v="1"/>
    <x v="1"/>
    <x v="5"/>
    <s v="Ball Pens Set"/>
    <n v="38261"/>
    <n v="2"/>
    <n v="4813.78"/>
  </r>
  <r>
    <d v="2021-06-24T00:00:00"/>
    <x v="0"/>
    <x v="5"/>
    <x v="1"/>
    <x v="5"/>
    <x v="2"/>
    <x v="9"/>
    <s v="King Size Bed"/>
    <n v="16465"/>
    <n v="2"/>
    <n v="2201.5500000000002"/>
  </r>
  <r>
    <d v="2021-06-24T00:00:00"/>
    <x v="0"/>
    <x v="5"/>
    <x v="3"/>
    <x v="4"/>
    <x v="0"/>
    <x v="0"/>
    <s v="Samsung Galaxy"/>
    <n v="6309"/>
    <n v="7"/>
    <n v="406.83"/>
  </r>
  <r>
    <d v="2021-06-25T00:00:00"/>
    <x v="0"/>
    <x v="5"/>
    <x v="7"/>
    <x v="3"/>
    <x v="2"/>
    <x v="9"/>
    <s v="King Size Bed"/>
    <n v="50804"/>
    <n v="10"/>
    <n v="4791.17"/>
  </r>
  <r>
    <d v="2021-06-28T00:00:00"/>
    <x v="0"/>
    <x v="5"/>
    <x v="3"/>
    <x v="2"/>
    <x v="0"/>
    <x v="1"/>
    <s v="HP Printer"/>
    <n v="25634"/>
    <n v="9"/>
    <n v="2809.57"/>
  </r>
  <r>
    <d v="2021-06-29T00:00:00"/>
    <x v="0"/>
    <x v="5"/>
    <x v="5"/>
    <x v="5"/>
    <x v="0"/>
    <x v="8"/>
    <s v="HP Pavilion"/>
    <n v="53317"/>
    <n v="6"/>
    <n v="8006.93"/>
  </r>
  <r>
    <d v="2021-06-30T00:00:00"/>
    <x v="0"/>
    <x v="5"/>
    <x v="5"/>
    <x v="0"/>
    <x v="0"/>
    <x v="10"/>
    <s v="LG Monitor"/>
    <n v="56337"/>
    <n v="8"/>
    <n v="6594.82"/>
  </r>
  <r>
    <d v="2021-07-06T00:00:00"/>
    <x v="0"/>
    <x v="6"/>
    <x v="3"/>
    <x v="3"/>
    <x v="1"/>
    <x v="2"/>
    <s v="Plastic Box"/>
    <n v="31002"/>
    <n v="6"/>
    <n v="3449.04"/>
  </r>
  <r>
    <d v="2021-07-10T00:00:00"/>
    <x v="0"/>
    <x v="6"/>
    <x v="5"/>
    <x v="3"/>
    <x v="1"/>
    <x v="7"/>
    <s v="Ring Binder"/>
    <n v="14925"/>
    <n v="2"/>
    <n v="1779.32"/>
  </r>
  <r>
    <d v="2021-07-10T00:00:00"/>
    <x v="0"/>
    <x v="6"/>
    <x v="8"/>
    <x v="0"/>
    <x v="2"/>
    <x v="4"/>
    <s v="Dining Table"/>
    <n v="3077"/>
    <n v="4"/>
    <n v="567.99"/>
  </r>
  <r>
    <d v="2021-07-11T00:00:00"/>
    <x v="0"/>
    <x v="6"/>
    <x v="0"/>
    <x v="0"/>
    <x v="2"/>
    <x v="9"/>
    <s v="King Size Bed"/>
    <n v="49585"/>
    <n v="4"/>
    <n v="3716.23"/>
  </r>
  <r>
    <d v="2021-07-11T00:00:00"/>
    <x v="0"/>
    <x v="6"/>
    <x v="7"/>
    <x v="4"/>
    <x v="2"/>
    <x v="3"/>
    <s v="Wooden Bookcase"/>
    <n v="53836"/>
    <n v="4"/>
    <n v="8124.89"/>
  </r>
  <r>
    <d v="2021-07-11T00:00:00"/>
    <x v="0"/>
    <x v="6"/>
    <x v="0"/>
    <x v="1"/>
    <x v="1"/>
    <x v="7"/>
    <s v="Ring Binder"/>
    <n v="26760"/>
    <n v="7"/>
    <n v="2851.96"/>
  </r>
  <r>
    <d v="2021-07-13T00:00:00"/>
    <x v="0"/>
    <x v="6"/>
    <x v="4"/>
    <x v="1"/>
    <x v="0"/>
    <x v="10"/>
    <s v="LG Monitor"/>
    <n v="30480"/>
    <n v="2"/>
    <n v="5199.42"/>
  </r>
  <r>
    <d v="2021-07-18T00:00:00"/>
    <x v="0"/>
    <x v="6"/>
    <x v="9"/>
    <x v="3"/>
    <x v="2"/>
    <x v="13"/>
    <s v="Plastic Chair"/>
    <n v="23726"/>
    <n v="6"/>
    <n v="3334.9"/>
  </r>
  <r>
    <d v="2021-07-19T00:00:00"/>
    <x v="0"/>
    <x v="6"/>
    <x v="8"/>
    <x v="4"/>
    <x v="1"/>
    <x v="6"/>
    <s v="A4 Paper Pack"/>
    <n v="31053"/>
    <n v="3"/>
    <n v="5003.8100000000004"/>
  </r>
  <r>
    <d v="2021-07-21T00:00:00"/>
    <x v="0"/>
    <x v="6"/>
    <x v="6"/>
    <x v="1"/>
    <x v="1"/>
    <x v="7"/>
    <s v="Ring Binder"/>
    <n v="50031"/>
    <n v="2"/>
    <n v="5831.2"/>
  </r>
  <r>
    <d v="2021-07-21T00:00:00"/>
    <x v="0"/>
    <x v="6"/>
    <x v="8"/>
    <x v="5"/>
    <x v="0"/>
    <x v="0"/>
    <s v="Samsung Galaxy"/>
    <n v="17156"/>
    <n v="4"/>
    <n v="2171.9699999999998"/>
  </r>
  <r>
    <d v="2021-07-23T00:00:00"/>
    <x v="0"/>
    <x v="6"/>
    <x v="4"/>
    <x v="0"/>
    <x v="1"/>
    <x v="7"/>
    <s v="Ring Binder"/>
    <n v="41237"/>
    <n v="8"/>
    <n v="2162.56"/>
  </r>
  <r>
    <d v="2021-07-24T00:00:00"/>
    <x v="0"/>
    <x v="6"/>
    <x v="6"/>
    <x v="2"/>
    <x v="0"/>
    <x v="10"/>
    <s v="LG Monitor"/>
    <n v="53492"/>
    <n v="3"/>
    <n v="9688.5300000000007"/>
  </r>
  <r>
    <d v="2021-07-25T00:00:00"/>
    <x v="0"/>
    <x v="6"/>
    <x v="0"/>
    <x v="1"/>
    <x v="2"/>
    <x v="4"/>
    <s v="Dining Table"/>
    <n v="57490"/>
    <n v="8"/>
    <n v="3734.36"/>
  </r>
  <r>
    <d v="2021-07-27T00:00:00"/>
    <x v="0"/>
    <x v="6"/>
    <x v="1"/>
    <x v="3"/>
    <x v="0"/>
    <x v="8"/>
    <s v="Dell Inspiron"/>
    <n v="21898"/>
    <n v="4"/>
    <n v="4295.51"/>
  </r>
  <r>
    <d v="2021-07-27T00:00:00"/>
    <x v="0"/>
    <x v="6"/>
    <x v="0"/>
    <x v="2"/>
    <x v="2"/>
    <x v="9"/>
    <s v="King Size Bed"/>
    <n v="59495"/>
    <n v="5"/>
    <n v="8724.9699999999993"/>
  </r>
  <r>
    <d v="2021-08-01T00:00:00"/>
    <x v="0"/>
    <x v="7"/>
    <x v="1"/>
    <x v="0"/>
    <x v="2"/>
    <x v="11"/>
    <s v="Leather Sofa"/>
    <n v="13647"/>
    <n v="9"/>
    <n v="2694.84"/>
  </r>
  <r>
    <d v="2021-08-03T00:00:00"/>
    <x v="0"/>
    <x v="7"/>
    <x v="5"/>
    <x v="1"/>
    <x v="1"/>
    <x v="6"/>
    <s v="A4 Paper Pack"/>
    <n v="33727"/>
    <n v="10"/>
    <n v="2281.98"/>
  </r>
  <r>
    <d v="2021-08-05T00:00:00"/>
    <x v="0"/>
    <x v="7"/>
    <x v="1"/>
    <x v="1"/>
    <x v="1"/>
    <x v="7"/>
    <s v="Ring Binder"/>
    <n v="10972"/>
    <n v="8"/>
    <n v="1315.63"/>
  </r>
  <r>
    <d v="2021-08-13T00:00:00"/>
    <x v="0"/>
    <x v="7"/>
    <x v="1"/>
    <x v="5"/>
    <x v="0"/>
    <x v="0"/>
    <s v="Samsung Galaxy"/>
    <n v="10216"/>
    <n v="3"/>
    <n v="1724.58"/>
  </r>
  <r>
    <d v="2021-08-16T00:00:00"/>
    <x v="0"/>
    <x v="7"/>
    <x v="9"/>
    <x v="3"/>
    <x v="1"/>
    <x v="2"/>
    <s v="Plastic Box"/>
    <n v="55033"/>
    <n v="8"/>
    <n v="7677.7"/>
  </r>
  <r>
    <d v="2021-08-18T00:00:00"/>
    <x v="0"/>
    <x v="7"/>
    <x v="3"/>
    <x v="5"/>
    <x v="1"/>
    <x v="2"/>
    <s v="Plastic Box"/>
    <n v="5131"/>
    <n v="3"/>
    <n v="676.46"/>
  </r>
  <r>
    <d v="2021-08-26T00:00:00"/>
    <x v="0"/>
    <x v="7"/>
    <x v="4"/>
    <x v="3"/>
    <x v="1"/>
    <x v="5"/>
    <s v="Ball Pens Set"/>
    <n v="6425"/>
    <n v="1"/>
    <n v="330.57"/>
  </r>
  <r>
    <d v="2021-08-30T00:00:00"/>
    <x v="0"/>
    <x v="7"/>
    <x v="3"/>
    <x v="3"/>
    <x v="1"/>
    <x v="6"/>
    <s v="A4 Paper Pack"/>
    <n v="15835"/>
    <n v="5"/>
    <n v="1069.53"/>
  </r>
  <r>
    <d v="2021-08-30T00:00:00"/>
    <x v="0"/>
    <x v="7"/>
    <x v="1"/>
    <x v="2"/>
    <x v="0"/>
    <x v="8"/>
    <s v="HP Pavilion"/>
    <n v="50756"/>
    <n v="1"/>
    <n v="5088.37"/>
  </r>
  <r>
    <d v="2021-09-02T00:00:00"/>
    <x v="0"/>
    <x v="8"/>
    <x v="8"/>
    <x v="1"/>
    <x v="2"/>
    <x v="9"/>
    <s v="King Size Bed"/>
    <n v="33101"/>
    <n v="1"/>
    <n v="2545.52"/>
  </r>
  <r>
    <d v="2021-09-04T00:00:00"/>
    <x v="0"/>
    <x v="8"/>
    <x v="4"/>
    <x v="4"/>
    <x v="1"/>
    <x v="7"/>
    <s v="Ring Binder"/>
    <n v="49823"/>
    <n v="8"/>
    <n v="3783.15"/>
  </r>
  <r>
    <d v="2021-09-06T00:00:00"/>
    <x v="0"/>
    <x v="8"/>
    <x v="8"/>
    <x v="5"/>
    <x v="2"/>
    <x v="9"/>
    <s v="King Size Bed"/>
    <n v="30114"/>
    <n v="3"/>
    <n v="5125.78"/>
  </r>
  <r>
    <d v="2021-09-10T00:00:00"/>
    <x v="0"/>
    <x v="8"/>
    <x v="6"/>
    <x v="5"/>
    <x v="1"/>
    <x v="7"/>
    <s v="Ring Binder"/>
    <n v="24224"/>
    <n v="1"/>
    <n v="2574.5"/>
  </r>
  <r>
    <d v="2021-09-16T00:00:00"/>
    <x v="0"/>
    <x v="8"/>
    <x v="8"/>
    <x v="3"/>
    <x v="1"/>
    <x v="6"/>
    <s v="A4 Paper Pack"/>
    <n v="18223"/>
    <n v="10"/>
    <n v="2641.63"/>
  </r>
  <r>
    <d v="2021-09-19T00:00:00"/>
    <x v="0"/>
    <x v="8"/>
    <x v="9"/>
    <x v="2"/>
    <x v="1"/>
    <x v="6"/>
    <s v="A4 Paper Pack"/>
    <n v="2941"/>
    <n v="5"/>
    <n v="307.92"/>
  </r>
  <r>
    <d v="2021-09-21T00:00:00"/>
    <x v="0"/>
    <x v="8"/>
    <x v="3"/>
    <x v="5"/>
    <x v="0"/>
    <x v="12"/>
    <s v="Wireless Mouse"/>
    <n v="6536"/>
    <n v="7"/>
    <n v="692.68"/>
  </r>
  <r>
    <d v="2021-09-23T00:00:00"/>
    <x v="0"/>
    <x v="8"/>
    <x v="1"/>
    <x v="0"/>
    <x v="2"/>
    <x v="11"/>
    <s v="Leather Sofa"/>
    <n v="40470"/>
    <n v="7"/>
    <n v="5869.09"/>
  </r>
  <r>
    <d v="2021-09-24T00:00:00"/>
    <x v="0"/>
    <x v="8"/>
    <x v="5"/>
    <x v="3"/>
    <x v="2"/>
    <x v="3"/>
    <s v="Wooden Bookcase"/>
    <n v="35603"/>
    <n v="5"/>
    <n v="6044.57"/>
  </r>
  <r>
    <d v="2021-09-25T00:00:00"/>
    <x v="0"/>
    <x v="8"/>
    <x v="0"/>
    <x v="5"/>
    <x v="2"/>
    <x v="13"/>
    <s v="Plastic Chair"/>
    <n v="41953"/>
    <n v="5"/>
    <n v="3114.48"/>
  </r>
  <r>
    <d v="2021-09-25T00:00:00"/>
    <x v="0"/>
    <x v="8"/>
    <x v="5"/>
    <x v="5"/>
    <x v="2"/>
    <x v="13"/>
    <s v="Office Chair"/>
    <n v="13184"/>
    <n v="7"/>
    <n v="1395.34"/>
  </r>
  <r>
    <d v="2021-10-01T00:00:00"/>
    <x v="0"/>
    <x v="9"/>
    <x v="2"/>
    <x v="2"/>
    <x v="1"/>
    <x v="6"/>
    <s v="A4 Paper Pack"/>
    <n v="31538"/>
    <n v="3"/>
    <n v="3729.27"/>
  </r>
  <r>
    <d v="2021-10-02T00:00:00"/>
    <x v="0"/>
    <x v="9"/>
    <x v="7"/>
    <x v="1"/>
    <x v="0"/>
    <x v="10"/>
    <s v="LG Monitor"/>
    <n v="55975"/>
    <n v="9"/>
    <n v="6728.37"/>
  </r>
  <r>
    <d v="2021-10-03T00:00:00"/>
    <x v="0"/>
    <x v="9"/>
    <x v="3"/>
    <x v="2"/>
    <x v="1"/>
    <x v="7"/>
    <s v="Ring Binder"/>
    <n v="19892"/>
    <n v="8"/>
    <n v="3304.15"/>
  </r>
  <r>
    <d v="2021-10-09T00:00:00"/>
    <x v="0"/>
    <x v="9"/>
    <x v="0"/>
    <x v="3"/>
    <x v="2"/>
    <x v="3"/>
    <s v="Wooden Bookcase"/>
    <n v="2710"/>
    <n v="5"/>
    <n v="508.42"/>
  </r>
  <r>
    <d v="2021-10-09T00:00:00"/>
    <x v="0"/>
    <x v="9"/>
    <x v="7"/>
    <x v="4"/>
    <x v="1"/>
    <x v="5"/>
    <s v="Ball Pens Set"/>
    <n v="7358"/>
    <n v="10"/>
    <n v="1185.6199999999999"/>
  </r>
  <r>
    <d v="2021-10-14T00:00:00"/>
    <x v="0"/>
    <x v="9"/>
    <x v="8"/>
    <x v="3"/>
    <x v="2"/>
    <x v="3"/>
    <s v="Wooden Bookcase"/>
    <n v="47406"/>
    <n v="9"/>
    <n v="5842.67"/>
  </r>
  <r>
    <d v="2021-10-14T00:00:00"/>
    <x v="0"/>
    <x v="9"/>
    <x v="3"/>
    <x v="1"/>
    <x v="1"/>
    <x v="5"/>
    <s v="Ball Pens Set"/>
    <n v="52006"/>
    <n v="2"/>
    <n v="6506.93"/>
  </r>
  <r>
    <d v="2021-10-16T00:00:00"/>
    <x v="0"/>
    <x v="9"/>
    <x v="3"/>
    <x v="4"/>
    <x v="1"/>
    <x v="7"/>
    <s v="Ring Binder"/>
    <n v="21903"/>
    <n v="2"/>
    <n v="1877.07"/>
  </r>
  <r>
    <d v="2021-11-01T00:00:00"/>
    <x v="0"/>
    <x v="10"/>
    <x v="7"/>
    <x v="3"/>
    <x v="0"/>
    <x v="1"/>
    <s v="HP Printer"/>
    <n v="2470"/>
    <n v="10"/>
    <n v="352.9"/>
  </r>
  <r>
    <d v="2021-11-05T00:00:00"/>
    <x v="0"/>
    <x v="10"/>
    <x v="7"/>
    <x v="1"/>
    <x v="1"/>
    <x v="7"/>
    <s v="Ring Binder"/>
    <n v="15355"/>
    <n v="7"/>
    <n v="2366.09"/>
  </r>
  <r>
    <d v="2021-11-05T00:00:00"/>
    <x v="0"/>
    <x v="10"/>
    <x v="2"/>
    <x v="0"/>
    <x v="0"/>
    <x v="10"/>
    <s v="LG Monitor"/>
    <n v="9202"/>
    <n v="4"/>
    <n v="933.09"/>
  </r>
  <r>
    <d v="2021-11-09T00:00:00"/>
    <x v="0"/>
    <x v="10"/>
    <x v="2"/>
    <x v="4"/>
    <x v="1"/>
    <x v="2"/>
    <s v="Plastic Box"/>
    <n v="13057"/>
    <n v="6"/>
    <n v="1103.3499999999999"/>
  </r>
  <r>
    <d v="2021-11-12T00:00:00"/>
    <x v="0"/>
    <x v="10"/>
    <x v="3"/>
    <x v="2"/>
    <x v="2"/>
    <x v="13"/>
    <s v="Plastic Chair"/>
    <n v="25103"/>
    <n v="3"/>
    <n v="4040.29"/>
  </r>
  <r>
    <d v="2021-11-14T00:00:00"/>
    <x v="0"/>
    <x v="10"/>
    <x v="9"/>
    <x v="5"/>
    <x v="0"/>
    <x v="10"/>
    <s v="LG Monitor"/>
    <n v="12645"/>
    <n v="5"/>
    <n v="1045.17"/>
  </r>
  <r>
    <d v="2021-11-15T00:00:00"/>
    <x v="0"/>
    <x v="10"/>
    <x v="5"/>
    <x v="2"/>
    <x v="0"/>
    <x v="0"/>
    <s v="Samsung Galaxy"/>
    <n v="35352"/>
    <n v="6"/>
    <n v="3839.57"/>
  </r>
  <r>
    <d v="2021-11-18T00:00:00"/>
    <x v="0"/>
    <x v="10"/>
    <x v="4"/>
    <x v="1"/>
    <x v="2"/>
    <x v="3"/>
    <s v="Wooden Bookcase"/>
    <n v="15919"/>
    <n v="3"/>
    <n v="2114.02"/>
  </r>
  <r>
    <d v="2021-11-19T00:00:00"/>
    <x v="0"/>
    <x v="10"/>
    <x v="8"/>
    <x v="4"/>
    <x v="1"/>
    <x v="5"/>
    <s v="Ball Pens Set"/>
    <n v="46849"/>
    <n v="3"/>
    <n v="7920.03"/>
  </r>
  <r>
    <d v="2021-11-23T00:00:00"/>
    <x v="0"/>
    <x v="10"/>
    <x v="6"/>
    <x v="5"/>
    <x v="0"/>
    <x v="12"/>
    <s v="Wireless Mouse"/>
    <n v="6762"/>
    <n v="4"/>
    <n v="1004.36"/>
  </r>
  <r>
    <d v="2021-11-27T00:00:00"/>
    <x v="0"/>
    <x v="10"/>
    <x v="2"/>
    <x v="2"/>
    <x v="2"/>
    <x v="4"/>
    <s v="Dining Table"/>
    <n v="35548"/>
    <n v="9"/>
    <n v="6674.99"/>
  </r>
  <r>
    <d v="2021-11-29T00:00:00"/>
    <x v="0"/>
    <x v="10"/>
    <x v="9"/>
    <x v="4"/>
    <x v="1"/>
    <x v="6"/>
    <s v="A4 Paper Pack"/>
    <n v="52621"/>
    <n v="3"/>
    <n v="9588.2000000000007"/>
  </r>
  <r>
    <d v="2021-11-29T00:00:00"/>
    <x v="0"/>
    <x v="10"/>
    <x v="6"/>
    <x v="5"/>
    <x v="0"/>
    <x v="12"/>
    <s v="Keyboard"/>
    <n v="25952"/>
    <n v="10"/>
    <n v="4175.62"/>
  </r>
  <r>
    <d v="2021-11-30T00:00:00"/>
    <x v="0"/>
    <x v="10"/>
    <x v="7"/>
    <x v="4"/>
    <x v="2"/>
    <x v="11"/>
    <s v="Leather Sofa"/>
    <n v="56156"/>
    <n v="10"/>
    <n v="9376.6200000000008"/>
  </r>
  <r>
    <d v="2021-12-01T00:00:00"/>
    <x v="0"/>
    <x v="11"/>
    <x v="5"/>
    <x v="2"/>
    <x v="1"/>
    <x v="5"/>
    <s v="Ball Pens Set"/>
    <n v="55096"/>
    <n v="5"/>
    <n v="8944.51"/>
  </r>
  <r>
    <d v="2021-12-03T00:00:00"/>
    <x v="0"/>
    <x v="11"/>
    <x v="7"/>
    <x v="3"/>
    <x v="2"/>
    <x v="9"/>
    <s v="King Size Bed"/>
    <n v="21703"/>
    <n v="9"/>
    <n v="2523.54"/>
  </r>
  <r>
    <d v="2021-12-04T00:00:00"/>
    <x v="0"/>
    <x v="11"/>
    <x v="6"/>
    <x v="0"/>
    <x v="2"/>
    <x v="11"/>
    <s v="Leather Sofa"/>
    <n v="25036"/>
    <n v="1"/>
    <n v="4952.03"/>
  </r>
  <r>
    <d v="2021-12-15T00:00:00"/>
    <x v="0"/>
    <x v="11"/>
    <x v="1"/>
    <x v="5"/>
    <x v="0"/>
    <x v="12"/>
    <s v="Wireless Mouse"/>
    <n v="11673"/>
    <n v="2"/>
    <n v="1650.84"/>
  </r>
  <r>
    <d v="2021-12-15T00:00:00"/>
    <x v="0"/>
    <x v="11"/>
    <x v="5"/>
    <x v="5"/>
    <x v="2"/>
    <x v="13"/>
    <s v="Plastic Chair"/>
    <n v="58391"/>
    <n v="7"/>
    <n v="4328.8599999999997"/>
  </r>
  <r>
    <d v="2021-12-22T00:00:00"/>
    <x v="0"/>
    <x v="11"/>
    <x v="7"/>
    <x v="1"/>
    <x v="2"/>
    <x v="9"/>
    <s v="King Size Bed"/>
    <n v="12832"/>
    <n v="4"/>
    <n v="2252.61"/>
  </r>
  <r>
    <d v="2021-12-25T00:00:00"/>
    <x v="0"/>
    <x v="11"/>
    <x v="6"/>
    <x v="4"/>
    <x v="0"/>
    <x v="12"/>
    <s v="Wireless Mouse"/>
    <n v="31034"/>
    <n v="9"/>
    <n v="4584.54"/>
  </r>
  <r>
    <d v="2021-12-25T00:00:00"/>
    <x v="0"/>
    <x v="11"/>
    <x v="9"/>
    <x v="0"/>
    <x v="1"/>
    <x v="6"/>
    <s v="A4 Paper Pack"/>
    <n v="27586"/>
    <n v="3"/>
    <n v="5243.78"/>
  </r>
  <r>
    <d v="2021-12-26T00:00:00"/>
    <x v="0"/>
    <x v="11"/>
    <x v="3"/>
    <x v="5"/>
    <x v="0"/>
    <x v="1"/>
    <s v="HP Printer"/>
    <n v="13359"/>
    <n v="3"/>
    <n v="2244"/>
  </r>
  <r>
    <d v="2022-01-03T00:00:00"/>
    <x v="1"/>
    <x v="0"/>
    <x v="4"/>
    <x v="2"/>
    <x v="0"/>
    <x v="8"/>
    <s v="HP Pavilion"/>
    <n v="20009"/>
    <n v="1"/>
    <n v="3125.46"/>
  </r>
  <r>
    <d v="2022-01-03T00:00:00"/>
    <x v="1"/>
    <x v="0"/>
    <x v="7"/>
    <x v="5"/>
    <x v="1"/>
    <x v="5"/>
    <s v="Ball Pens Set"/>
    <n v="55933"/>
    <n v="6"/>
    <n v="2928.02"/>
  </r>
  <r>
    <d v="2022-01-10T00:00:00"/>
    <x v="1"/>
    <x v="0"/>
    <x v="0"/>
    <x v="2"/>
    <x v="2"/>
    <x v="3"/>
    <s v="Wooden Bookcase"/>
    <n v="7660"/>
    <n v="7"/>
    <n v="842.89"/>
  </r>
  <r>
    <d v="2022-01-14T00:00:00"/>
    <x v="1"/>
    <x v="0"/>
    <x v="7"/>
    <x v="1"/>
    <x v="2"/>
    <x v="11"/>
    <s v="Leather Sofa"/>
    <n v="9415"/>
    <n v="8"/>
    <n v="927.76"/>
  </r>
  <r>
    <d v="2022-01-16T00:00:00"/>
    <x v="1"/>
    <x v="0"/>
    <x v="7"/>
    <x v="0"/>
    <x v="2"/>
    <x v="9"/>
    <s v="King Size Bed"/>
    <n v="4690"/>
    <n v="10"/>
    <n v="282.31"/>
  </r>
  <r>
    <d v="2022-01-18T00:00:00"/>
    <x v="1"/>
    <x v="0"/>
    <x v="8"/>
    <x v="2"/>
    <x v="0"/>
    <x v="10"/>
    <s v="LG Monitor"/>
    <n v="32719"/>
    <n v="8"/>
    <n v="3438.83"/>
  </r>
  <r>
    <d v="2022-01-20T00:00:00"/>
    <x v="1"/>
    <x v="0"/>
    <x v="1"/>
    <x v="3"/>
    <x v="1"/>
    <x v="2"/>
    <s v="Plastic Box"/>
    <n v="29148"/>
    <n v="4"/>
    <n v="5451.11"/>
  </r>
  <r>
    <d v="2022-01-22T00:00:00"/>
    <x v="1"/>
    <x v="0"/>
    <x v="7"/>
    <x v="0"/>
    <x v="0"/>
    <x v="10"/>
    <s v="LG Monitor"/>
    <n v="45911"/>
    <n v="4"/>
    <n v="6233.32"/>
  </r>
  <r>
    <d v="2022-01-29T00:00:00"/>
    <x v="1"/>
    <x v="0"/>
    <x v="7"/>
    <x v="2"/>
    <x v="1"/>
    <x v="5"/>
    <s v="Ball Pens Set"/>
    <n v="16355"/>
    <n v="5"/>
    <n v="2186.88"/>
  </r>
  <r>
    <d v="2022-01-30T00:00:00"/>
    <x v="1"/>
    <x v="0"/>
    <x v="4"/>
    <x v="4"/>
    <x v="0"/>
    <x v="8"/>
    <s v="Dell Inspiron"/>
    <n v="20879"/>
    <n v="2"/>
    <n v="3370.54"/>
  </r>
  <r>
    <d v="2022-02-03T00:00:00"/>
    <x v="1"/>
    <x v="1"/>
    <x v="1"/>
    <x v="5"/>
    <x v="1"/>
    <x v="7"/>
    <s v="Ring Binder"/>
    <n v="32999"/>
    <n v="2"/>
    <n v="5943.93"/>
  </r>
  <r>
    <d v="2022-02-05T00:00:00"/>
    <x v="1"/>
    <x v="1"/>
    <x v="7"/>
    <x v="4"/>
    <x v="0"/>
    <x v="12"/>
    <s v="Keyboard"/>
    <n v="48202"/>
    <n v="9"/>
    <n v="7908.61"/>
  </r>
  <r>
    <d v="2022-02-13T00:00:00"/>
    <x v="1"/>
    <x v="1"/>
    <x v="7"/>
    <x v="4"/>
    <x v="2"/>
    <x v="11"/>
    <s v="Leather Sofa"/>
    <n v="53715"/>
    <n v="8"/>
    <n v="5503.04"/>
  </r>
  <r>
    <d v="2022-02-19T00:00:00"/>
    <x v="1"/>
    <x v="1"/>
    <x v="6"/>
    <x v="4"/>
    <x v="0"/>
    <x v="0"/>
    <s v="iPhone"/>
    <n v="45327"/>
    <n v="3"/>
    <n v="8264.1200000000008"/>
  </r>
  <r>
    <d v="2022-02-21T00:00:00"/>
    <x v="1"/>
    <x v="1"/>
    <x v="6"/>
    <x v="0"/>
    <x v="1"/>
    <x v="2"/>
    <s v="Plastic Box"/>
    <n v="17701"/>
    <n v="9"/>
    <n v="1232.9100000000001"/>
  </r>
  <r>
    <d v="2022-02-23T00:00:00"/>
    <x v="1"/>
    <x v="1"/>
    <x v="1"/>
    <x v="4"/>
    <x v="1"/>
    <x v="5"/>
    <s v="Ball Pens Set"/>
    <n v="44091"/>
    <n v="6"/>
    <n v="3783.14"/>
  </r>
  <r>
    <d v="2022-02-28T00:00:00"/>
    <x v="1"/>
    <x v="1"/>
    <x v="2"/>
    <x v="2"/>
    <x v="0"/>
    <x v="8"/>
    <s v="Dell Inspiron"/>
    <n v="53515"/>
    <n v="4"/>
    <n v="9141.2199999999993"/>
  </r>
  <r>
    <d v="2022-02-28T00:00:00"/>
    <x v="1"/>
    <x v="1"/>
    <x v="0"/>
    <x v="1"/>
    <x v="2"/>
    <x v="13"/>
    <s v="Office Chair"/>
    <n v="11395"/>
    <n v="5"/>
    <n v="2239.79"/>
  </r>
  <r>
    <d v="2022-03-10T00:00:00"/>
    <x v="1"/>
    <x v="2"/>
    <x v="1"/>
    <x v="2"/>
    <x v="0"/>
    <x v="10"/>
    <s v="LG Monitor"/>
    <n v="29999"/>
    <n v="6"/>
    <n v="3018.65"/>
  </r>
  <r>
    <d v="2022-03-17T00:00:00"/>
    <x v="1"/>
    <x v="2"/>
    <x v="7"/>
    <x v="2"/>
    <x v="2"/>
    <x v="3"/>
    <s v="Wooden Bookcase"/>
    <n v="54983"/>
    <n v="6"/>
    <n v="3972.44"/>
  </r>
  <r>
    <d v="2022-03-25T00:00:00"/>
    <x v="1"/>
    <x v="2"/>
    <x v="4"/>
    <x v="3"/>
    <x v="2"/>
    <x v="9"/>
    <s v="King Size Bed"/>
    <n v="41921"/>
    <n v="4"/>
    <n v="6000.31"/>
  </r>
  <r>
    <d v="2022-03-26T00:00:00"/>
    <x v="1"/>
    <x v="2"/>
    <x v="1"/>
    <x v="2"/>
    <x v="1"/>
    <x v="6"/>
    <s v="A4 Paper Pack"/>
    <n v="18087"/>
    <n v="7"/>
    <n v="2221.92"/>
  </r>
  <r>
    <d v="2022-03-28T00:00:00"/>
    <x v="1"/>
    <x v="2"/>
    <x v="7"/>
    <x v="2"/>
    <x v="1"/>
    <x v="5"/>
    <s v="Ball Pens Set"/>
    <n v="26103"/>
    <n v="10"/>
    <n v="1519.65"/>
  </r>
  <r>
    <d v="2022-03-28T00:00:00"/>
    <x v="1"/>
    <x v="2"/>
    <x v="8"/>
    <x v="2"/>
    <x v="2"/>
    <x v="13"/>
    <s v="Office Chair"/>
    <n v="19342"/>
    <n v="1"/>
    <n v="1764.53"/>
  </r>
  <r>
    <d v="2022-04-01T00:00:00"/>
    <x v="1"/>
    <x v="3"/>
    <x v="6"/>
    <x v="0"/>
    <x v="1"/>
    <x v="5"/>
    <s v="Ball Pens Set"/>
    <n v="23483"/>
    <n v="4"/>
    <n v="3795.59"/>
  </r>
  <r>
    <d v="2022-04-04T00:00:00"/>
    <x v="1"/>
    <x v="3"/>
    <x v="6"/>
    <x v="3"/>
    <x v="2"/>
    <x v="4"/>
    <s v="Study Table"/>
    <n v="16740"/>
    <n v="10"/>
    <n v="2858.57"/>
  </r>
  <r>
    <d v="2022-04-14T00:00:00"/>
    <x v="1"/>
    <x v="3"/>
    <x v="9"/>
    <x v="3"/>
    <x v="0"/>
    <x v="0"/>
    <s v="Samsung Galaxy"/>
    <n v="44390"/>
    <n v="10"/>
    <n v="6128.86"/>
  </r>
  <r>
    <d v="2022-04-16T00:00:00"/>
    <x v="1"/>
    <x v="3"/>
    <x v="9"/>
    <x v="1"/>
    <x v="2"/>
    <x v="9"/>
    <s v="King Size Bed"/>
    <n v="14055"/>
    <n v="10"/>
    <n v="1705.22"/>
  </r>
  <r>
    <d v="2022-04-23T00:00:00"/>
    <x v="1"/>
    <x v="3"/>
    <x v="9"/>
    <x v="2"/>
    <x v="2"/>
    <x v="11"/>
    <s v="Leather Sofa"/>
    <n v="35690"/>
    <n v="6"/>
    <n v="5189.01"/>
  </r>
  <r>
    <d v="2022-04-28T00:00:00"/>
    <x v="1"/>
    <x v="3"/>
    <x v="9"/>
    <x v="2"/>
    <x v="0"/>
    <x v="12"/>
    <s v="Keyboard"/>
    <n v="25507"/>
    <n v="2"/>
    <n v="2709.78"/>
  </r>
  <r>
    <d v="2022-04-30T00:00:00"/>
    <x v="1"/>
    <x v="3"/>
    <x v="8"/>
    <x v="5"/>
    <x v="2"/>
    <x v="4"/>
    <s v="Study Table"/>
    <n v="51997"/>
    <n v="8"/>
    <n v="2804.85"/>
  </r>
  <r>
    <d v="2022-05-09T00:00:00"/>
    <x v="1"/>
    <x v="4"/>
    <x v="3"/>
    <x v="2"/>
    <x v="2"/>
    <x v="13"/>
    <s v="Office Chair"/>
    <n v="12778"/>
    <n v="10"/>
    <n v="1647.96"/>
  </r>
  <r>
    <d v="2022-05-11T00:00:00"/>
    <x v="1"/>
    <x v="4"/>
    <x v="4"/>
    <x v="0"/>
    <x v="0"/>
    <x v="0"/>
    <s v="Samsung Galaxy"/>
    <n v="24609"/>
    <n v="8"/>
    <n v="3423.27"/>
  </r>
  <r>
    <d v="2022-05-12T00:00:00"/>
    <x v="1"/>
    <x v="4"/>
    <x v="1"/>
    <x v="4"/>
    <x v="2"/>
    <x v="13"/>
    <s v="Plastic Chair"/>
    <n v="45788"/>
    <n v="10"/>
    <n v="7123.02"/>
  </r>
  <r>
    <d v="2022-05-13T00:00:00"/>
    <x v="1"/>
    <x v="4"/>
    <x v="5"/>
    <x v="0"/>
    <x v="1"/>
    <x v="6"/>
    <s v="A4 Paper Pack"/>
    <n v="16911"/>
    <n v="4"/>
    <n v="1683.31"/>
  </r>
  <r>
    <d v="2022-05-17T00:00:00"/>
    <x v="1"/>
    <x v="4"/>
    <x v="5"/>
    <x v="0"/>
    <x v="2"/>
    <x v="13"/>
    <s v="Office Chair"/>
    <n v="31338"/>
    <n v="10"/>
    <n v="5561.26"/>
  </r>
  <r>
    <d v="2022-05-17T00:00:00"/>
    <x v="1"/>
    <x v="4"/>
    <x v="5"/>
    <x v="3"/>
    <x v="1"/>
    <x v="5"/>
    <s v="Ball Pens Set"/>
    <n v="52936"/>
    <n v="7"/>
    <n v="5008.54"/>
  </r>
  <r>
    <d v="2022-05-24T00:00:00"/>
    <x v="1"/>
    <x v="4"/>
    <x v="2"/>
    <x v="3"/>
    <x v="0"/>
    <x v="12"/>
    <s v="Keyboard"/>
    <n v="56908"/>
    <n v="3"/>
    <n v="9789.41"/>
  </r>
  <r>
    <d v="2022-05-25T00:00:00"/>
    <x v="1"/>
    <x v="4"/>
    <x v="4"/>
    <x v="0"/>
    <x v="0"/>
    <x v="1"/>
    <s v="HP Printer"/>
    <n v="12756"/>
    <n v="4"/>
    <n v="1663.93"/>
  </r>
  <r>
    <d v="2022-05-27T00:00:00"/>
    <x v="1"/>
    <x v="4"/>
    <x v="8"/>
    <x v="1"/>
    <x v="2"/>
    <x v="3"/>
    <s v="Wooden Bookcase"/>
    <n v="57510"/>
    <n v="2"/>
    <n v="6698.17"/>
  </r>
  <r>
    <d v="2022-05-28T00:00:00"/>
    <x v="1"/>
    <x v="4"/>
    <x v="4"/>
    <x v="1"/>
    <x v="0"/>
    <x v="0"/>
    <s v="iPhone"/>
    <n v="5601"/>
    <n v="6"/>
    <n v="838.34"/>
  </r>
  <r>
    <d v="2022-05-30T00:00:00"/>
    <x v="1"/>
    <x v="4"/>
    <x v="1"/>
    <x v="2"/>
    <x v="1"/>
    <x v="5"/>
    <s v="Ball Pens Set"/>
    <n v="59532"/>
    <n v="1"/>
    <n v="3800.81"/>
  </r>
  <r>
    <d v="2022-06-06T00:00:00"/>
    <x v="1"/>
    <x v="5"/>
    <x v="8"/>
    <x v="3"/>
    <x v="0"/>
    <x v="12"/>
    <s v="Wireless Mouse"/>
    <n v="3108"/>
    <n v="7"/>
    <n v="156.19"/>
  </r>
  <r>
    <d v="2022-06-11T00:00:00"/>
    <x v="1"/>
    <x v="5"/>
    <x v="6"/>
    <x v="3"/>
    <x v="1"/>
    <x v="5"/>
    <s v="Ball Pens Set"/>
    <n v="54246"/>
    <n v="8"/>
    <n v="10583.81"/>
  </r>
  <r>
    <d v="2022-06-12T00:00:00"/>
    <x v="1"/>
    <x v="5"/>
    <x v="0"/>
    <x v="0"/>
    <x v="0"/>
    <x v="12"/>
    <s v="Keyboard"/>
    <n v="50227"/>
    <n v="8"/>
    <n v="9793.07"/>
  </r>
  <r>
    <d v="2022-06-15T00:00:00"/>
    <x v="1"/>
    <x v="5"/>
    <x v="6"/>
    <x v="5"/>
    <x v="2"/>
    <x v="11"/>
    <s v="Leather Sofa"/>
    <n v="49468"/>
    <n v="4"/>
    <n v="8705.35"/>
  </r>
  <r>
    <d v="2022-06-23T00:00:00"/>
    <x v="1"/>
    <x v="5"/>
    <x v="3"/>
    <x v="3"/>
    <x v="0"/>
    <x v="8"/>
    <s v="Dell Inspiron"/>
    <n v="54693"/>
    <n v="9"/>
    <n v="10718.08"/>
  </r>
  <r>
    <d v="2022-06-26T00:00:00"/>
    <x v="1"/>
    <x v="5"/>
    <x v="7"/>
    <x v="0"/>
    <x v="0"/>
    <x v="0"/>
    <s v="Samsung Galaxy"/>
    <n v="51831"/>
    <n v="10"/>
    <n v="7732.02"/>
  </r>
  <r>
    <d v="2022-06-27T00:00:00"/>
    <x v="1"/>
    <x v="5"/>
    <x v="7"/>
    <x v="5"/>
    <x v="0"/>
    <x v="12"/>
    <s v="Wireless Mouse"/>
    <n v="34781"/>
    <n v="10"/>
    <n v="3946.62"/>
  </r>
  <r>
    <d v="2022-07-02T00:00:00"/>
    <x v="1"/>
    <x v="6"/>
    <x v="9"/>
    <x v="2"/>
    <x v="2"/>
    <x v="11"/>
    <s v="Leather Sofa"/>
    <n v="29664"/>
    <n v="4"/>
    <n v="2110.0500000000002"/>
  </r>
  <r>
    <d v="2022-07-05T00:00:00"/>
    <x v="1"/>
    <x v="6"/>
    <x v="5"/>
    <x v="4"/>
    <x v="0"/>
    <x v="8"/>
    <s v="Dell Inspiron"/>
    <n v="19934"/>
    <n v="5"/>
    <n v="2471.19"/>
  </r>
  <r>
    <d v="2022-07-06T00:00:00"/>
    <x v="1"/>
    <x v="6"/>
    <x v="9"/>
    <x v="0"/>
    <x v="1"/>
    <x v="6"/>
    <s v="A4 Paper Pack"/>
    <n v="42902"/>
    <n v="7"/>
    <n v="5448.22"/>
  </r>
  <r>
    <d v="2022-07-12T00:00:00"/>
    <x v="1"/>
    <x v="6"/>
    <x v="0"/>
    <x v="0"/>
    <x v="1"/>
    <x v="7"/>
    <s v="Ring Binder"/>
    <n v="29239"/>
    <n v="7"/>
    <n v="3591.99"/>
  </r>
  <r>
    <d v="2022-07-14T00:00:00"/>
    <x v="1"/>
    <x v="6"/>
    <x v="1"/>
    <x v="3"/>
    <x v="0"/>
    <x v="0"/>
    <s v="iPhone"/>
    <n v="8357"/>
    <n v="6"/>
    <n v="965.59"/>
  </r>
  <r>
    <d v="2022-07-18T00:00:00"/>
    <x v="1"/>
    <x v="6"/>
    <x v="5"/>
    <x v="3"/>
    <x v="1"/>
    <x v="7"/>
    <s v="Ring Binder"/>
    <n v="16249"/>
    <n v="4"/>
    <n v="1152.55"/>
  </r>
  <r>
    <d v="2022-07-25T00:00:00"/>
    <x v="1"/>
    <x v="6"/>
    <x v="4"/>
    <x v="3"/>
    <x v="2"/>
    <x v="9"/>
    <s v="King Size Bed"/>
    <n v="44042"/>
    <n v="8"/>
    <n v="3617.41"/>
  </r>
  <r>
    <d v="2022-08-01T00:00:00"/>
    <x v="1"/>
    <x v="7"/>
    <x v="7"/>
    <x v="3"/>
    <x v="1"/>
    <x v="6"/>
    <s v="A4 Paper Pack"/>
    <n v="39838"/>
    <n v="4"/>
    <n v="6280.14"/>
  </r>
  <r>
    <d v="2022-08-02T00:00:00"/>
    <x v="1"/>
    <x v="7"/>
    <x v="8"/>
    <x v="0"/>
    <x v="0"/>
    <x v="0"/>
    <s v="iPhone"/>
    <n v="50893"/>
    <n v="5"/>
    <n v="5043.25"/>
  </r>
  <r>
    <d v="2022-08-07T00:00:00"/>
    <x v="1"/>
    <x v="7"/>
    <x v="8"/>
    <x v="4"/>
    <x v="1"/>
    <x v="7"/>
    <s v="Ring Binder"/>
    <n v="5696"/>
    <n v="3"/>
    <n v="517.87"/>
  </r>
  <r>
    <d v="2022-08-11T00:00:00"/>
    <x v="1"/>
    <x v="7"/>
    <x v="2"/>
    <x v="3"/>
    <x v="1"/>
    <x v="7"/>
    <s v="Ring Binder"/>
    <n v="13974"/>
    <n v="7"/>
    <n v="2345.73"/>
  </r>
  <r>
    <d v="2022-08-11T00:00:00"/>
    <x v="1"/>
    <x v="7"/>
    <x v="1"/>
    <x v="2"/>
    <x v="2"/>
    <x v="11"/>
    <s v="Leather Sofa"/>
    <n v="26995"/>
    <n v="3"/>
    <n v="4463.51"/>
  </r>
  <r>
    <d v="2022-08-13T00:00:00"/>
    <x v="1"/>
    <x v="7"/>
    <x v="0"/>
    <x v="2"/>
    <x v="0"/>
    <x v="0"/>
    <s v="iPhone"/>
    <n v="44607"/>
    <n v="9"/>
    <n v="3287.37"/>
  </r>
  <r>
    <d v="2022-08-14T00:00:00"/>
    <x v="1"/>
    <x v="7"/>
    <x v="7"/>
    <x v="0"/>
    <x v="1"/>
    <x v="2"/>
    <s v="Plastic Box"/>
    <n v="15773"/>
    <n v="5"/>
    <n v="1076.94"/>
  </r>
  <r>
    <d v="2022-08-16T00:00:00"/>
    <x v="1"/>
    <x v="7"/>
    <x v="1"/>
    <x v="4"/>
    <x v="2"/>
    <x v="4"/>
    <s v="Dining Table"/>
    <n v="21703"/>
    <n v="2"/>
    <n v="1110.31"/>
  </r>
  <r>
    <d v="2022-08-20T00:00:00"/>
    <x v="1"/>
    <x v="7"/>
    <x v="6"/>
    <x v="3"/>
    <x v="0"/>
    <x v="10"/>
    <s v="LG Monitor"/>
    <n v="2339"/>
    <n v="4"/>
    <n v="218.03"/>
  </r>
  <r>
    <d v="2022-08-20T00:00:00"/>
    <x v="1"/>
    <x v="7"/>
    <x v="7"/>
    <x v="5"/>
    <x v="1"/>
    <x v="6"/>
    <s v="A4 Paper Pack"/>
    <n v="28330"/>
    <n v="1"/>
    <n v="4029.13"/>
  </r>
  <r>
    <d v="2022-08-21T00:00:00"/>
    <x v="1"/>
    <x v="7"/>
    <x v="7"/>
    <x v="0"/>
    <x v="2"/>
    <x v="3"/>
    <s v="Wooden Bookcase"/>
    <n v="37149"/>
    <n v="5"/>
    <n v="5978.63"/>
  </r>
  <r>
    <d v="2022-08-24T00:00:00"/>
    <x v="1"/>
    <x v="7"/>
    <x v="7"/>
    <x v="5"/>
    <x v="2"/>
    <x v="3"/>
    <s v="Wooden Bookcase"/>
    <n v="23692"/>
    <n v="6"/>
    <n v="2715.17"/>
  </r>
  <r>
    <d v="2022-09-02T00:00:00"/>
    <x v="1"/>
    <x v="8"/>
    <x v="2"/>
    <x v="5"/>
    <x v="1"/>
    <x v="5"/>
    <s v="Ball Pens Set"/>
    <n v="15767"/>
    <n v="2"/>
    <n v="905.74"/>
  </r>
  <r>
    <d v="2022-09-05T00:00:00"/>
    <x v="1"/>
    <x v="8"/>
    <x v="1"/>
    <x v="3"/>
    <x v="2"/>
    <x v="11"/>
    <s v="Leather Sofa"/>
    <n v="10846"/>
    <n v="10"/>
    <n v="933.52"/>
  </r>
  <r>
    <d v="2022-09-06T00:00:00"/>
    <x v="1"/>
    <x v="8"/>
    <x v="7"/>
    <x v="3"/>
    <x v="0"/>
    <x v="1"/>
    <s v="HP Printer"/>
    <n v="31934"/>
    <n v="2"/>
    <n v="3326.52"/>
  </r>
  <r>
    <d v="2022-09-07T00:00:00"/>
    <x v="1"/>
    <x v="8"/>
    <x v="0"/>
    <x v="4"/>
    <x v="0"/>
    <x v="10"/>
    <s v="LG Monitor"/>
    <n v="24871"/>
    <n v="3"/>
    <n v="4058.01"/>
  </r>
  <r>
    <d v="2022-09-20T00:00:00"/>
    <x v="1"/>
    <x v="8"/>
    <x v="4"/>
    <x v="3"/>
    <x v="2"/>
    <x v="3"/>
    <s v="Wooden Bookcase"/>
    <n v="29423"/>
    <n v="10"/>
    <n v="4638.5200000000004"/>
  </r>
  <r>
    <d v="2022-09-24T00:00:00"/>
    <x v="1"/>
    <x v="8"/>
    <x v="5"/>
    <x v="4"/>
    <x v="2"/>
    <x v="13"/>
    <s v="Office Chair"/>
    <n v="29346"/>
    <n v="6"/>
    <n v="4818.67"/>
  </r>
  <r>
    <d v="2022-10-01T00:00:00"/>
    <x v="1"/>
    <x v="9"/>
    <x v="7"/>
    <x v="1"/>
    <x v="2"/>
    <x v="9"/>
    <s v="King Size Bed"/>
    <n v="37935"/>
    <n v="7"/>
    <n v="4153.8100000000004"/>
  </r>
  <r>
    <d v="2022-10-01T00:00:00"/>
    <x v="1"/>
    <x v="9"/>
    <x v="8"/>
    <x v="0"/>
    <x v="1"/>
    <x v="6"/>
    <s v="A4 Paper Pack"/>
    <n v="22683"/>
    <n v="8"/>
    <n v="3802.59"/>
  </r>
  <r>
    <d v="2022-10-04T00:00:00"/>
    <x v="1"/>
    <x v="9"/>
    <x v="1"/>
    <x v="2"/>
    <x v="2"/>
    <x v="11"/>
    <s v="Leather Sofa"/>
    <n v="37932"/>
    <n v="7"/>
    <n v="5159.13"/>
  </r>
  <r>
    <d v="2022-10-04T00:00:00"/>
    <x v="1"/>
    <x v="9"/>
    <x v="4"/>
    <x v="3"/>
    <x v="2"/>
    <x v="13"/>
    <s v="Office Chair"/>
    <n v="24288"/>
    <n v="5"/>
    <n v="1713.99"/>
  </r>
  <r>
    <d v="2022-10-07T00:00:00"/>
    <x v="1"/>
    <x v="9"/>
    <x v="1"/>
    <x v="5"/>
    <x v="2"/>
    <x v="11"/>
    <s v="Leather Sofa"/>
    <n v="16741"/>
    <n v="6"/>
    <n v="1128.1500000000001"/>
  </r>
  <r>
    <d v="2022-10-10T00:00:00"/>
    <x v="1"/>
    <x v="9"/>
    <x v="2"/>
    <x v="5"/>
    <x v="1"/>
    <x v="5"/>
    <s v="Ball Pens Set"/>
    <n v="49474"/>
    <n v="2"/>
    <n v="2542.83"/>
  </r>
  <r>
    <d v="2022-10-11T00:00:00"/>
    <x v="1"/>
    <x v="9"/>
    <x v="2"/>
    <x v="0"/>
    <x v="1"/>
    <x v="7"/>
    <s v="Ring Binder"/>
    <n v="8849"/>
    <n v="7"/>
    <n v="1585.05"/>
  </r>
  <r>
    <d v="2022-10-12T00:00:00"/>
    <x v="1"/>
    <x v="9"/>
    <x v="6"/>
    <x v="2"/>
    <x v="0"/>
    <x v="8"/>
    <s v="HP Pavilion"/>
    <n v="31644"/>
    <n v="6"/>
    <n v="4242.6099999999997"/>
  </r>
  <r>
    <d v="2022-10-20T00:00:00"/>
    <x v="1"/>
    <x v="9"/>
    <x v="5"/>
    <x v="3"/>
    <x v="1"/>
    <x v="6"/>
    <s v="A4 Paper Pack"/>
    <n v="18904"/>
    <n v="1"/>
    <n v="3519.75"/>
  </r>
  <r>
    <d v="2022-10-22T00:00:00"/>
    <x v="1"/>
    <x v="9"/>
    <x v="3"/>
    <x v="2"/>
    <x v="1"/>
    <x v="2"/>
    <s v="Plastic Box"/>
    <n v="16470"/>
    <n v="7"/>
    <n v="3086.12"/>
  </r>
  <r>
    <d v="2022-10-23T00:00:00"/>
    <x v="1"/>
    <x v="9"/>
    <x v="8"/>
    <x v="2"/>
    <x v="0"/>
    <x v="8"/>
    <s v="Dell Inspiron"/>
    <n v="46686"/>
    <n v="4"/>
    <n v="4757.47"/>
  </r>
  <r>
    <d v="2022-10-25T00:00:00"/>
    <x v="1"/>
    <x v="9"/>
    <x v="6"/>
    <x v="5"/>
    <x v="1"/>
    <x v="5"/>
    <s v="Ball Pens Set"/>
    <n v="46340"/>
    <n v="5"/>
    <n v="4328.16"/>
  </r>
  <r>
    <d v="2022-10-25T00:00:00"/>
    <x v="1"/>
    <x v="9"/>
    <x v="4"/>
    <x v="1"/>
    <x v="2"/>
    <x v="3"/>
    <s v="Wooden Bookcase"/>
    <n v="4103"/>
    <n v="1"/>
    <n v="296.06"/>
  </r>
  <r>
    <d v="2022-10-28T00:00:00"/>
    <x v="1"/>
    <x v="9"/>
    <x v="3"/>
    <x v="1"/>
    <x v="2"/>
    <x v="11"/>
    <s v="Leather Sofa"/>
    <n v="11463"/>
    <n v="10"/>
    <n v="1364.26"/>
  </r>
  <r>
    <d v="2022-10-30T00:00:00"/>
    <x v="1"/>
    <x v="9"/>
    <x v="1"/>
    <x v="2"/>
    <x v="1"/>
    <x v="2"/>
    <s v="Plastic Box"/>
    <n v="24845"/>
    <n v="5"/>
    <n v="4285.12"/>
  </r>
  <r>
    <d v="2022-11-04T00:00:00"/>
    <x v="1"/>
    <x v="10"/>
    <x v="6"/>
    <x v="2"/>
    <x v="2"/>
    <x v="4"/>
    <s v="Dining Table"/>
    <n v="18458"/>
    <n v="2"/>
    <n v="3599.93"/>
  </r>
  <r>
    <d v="2022-11-04T00:00:00"/>
    <x v="1"/>
    <x v="10"/>
    <x v="3"/>
    <x v="3"/>
    <x v="1"/>
    <x v="2"/>
    <s v="Plastic Box"/>
    <n v="56059"/>
    <n v="9"/>
    <n v="5998.39"/>
  </r>
  <r>
    <d v="2022-11-14T00:00:00"/>
    <x v="1"/>
    <x v="10"/>
    <x v="5"/>
    <x v="5"/>
    <x v="1"/>
    <x v="5"/>
    <s v="Ball Pens Set"/>
    <n v="51260"/>
    <n v="3"/>
    <n v="3150.28"/>
  </r>
  <r>
    <d v="2022-11-14T00:00:00"/>
    <x v="1"/>
    <x v="10"/>
    <x v="3"/>
    <x v="2"/>
    <x v="0"/>
    <x v="12"/>
    <s v="Wireless Mouse"/>
    <n v="5541"/>
    <n v="10"/>
    <n v="828.61"/>
  </r>
  <r>
    <d v="2022-11-23T00:00:00"/>
    <x v="1"/>
    <x v="10"/>
    <x v="0"/>
    <x v="2"/>
    <x v="0"/>
    <x v="1"/>
    <s v="HP Printer"/>
    <n v="36068"/>
    <n v="10"/>
    <n v="2509.94"/>
  </r>
  <r>
    <d v="2022-12-01T00:00:00"/>
    <x v="1"/>
    <x v="11"/>
    <x v="4"/>
    <x v="4"/>
    <x v="0"/>
    <x v="8"/>
    <s v="Dell Inspiron"/>
    <n v="50410"/>
    <n v="8"/>
    <n v="3972.35"/>
  </r>
  <r>
    <d v="2022-12-04T00:00:00"/>
    <x v="1"/>
    <x v="11"/>
    <x v="4"/>
    <x v="3"/>
    <x v="1"/>
    <x v="7"/>
    <s v="Ring Binder"/>
    <n v="42665"/>
    <n v="2"/>
    <n v="6466.77"/>
  </r>
  <r>
    <d v="2022-12-06T00:00:00"/>
    <x v="1"/>
    <x v="11"/>
    <x v="6"/>
    <x v="4"/>
    <x v="0"/>
    <x v="10"/>
    <s v="LG Monitor"/>
    <n v="37270"/>
    <n v="9"/>
    <n v="3661.43"/>
  </r>
  <r>
    <d v="2022-12-08T00:00:00"/>
    <x v="1"/>
    <x v="11"/>
    <x v="2"/>
    <x v="0"/>
    <x v="0"/>
    <x v="8"/>
    <s v="Dell Inspiron"/>
    <n v="28374"/>
    <n v="2"/>
    <n v="2624.23"/>
  </r>
  <r>
    <d v="2022-12-08T00:00:00"/>
    <x v="1"/>
    <x v="11"/>
    <x v="3"/>
    <x v="4"/>
    <x v="2"/>
    <x v="3"/>
    <s v="Wooden Bookcase"/>
    <n v="16002"/>
    <n v="2"/>
    <n v="2651.93"/>
  </r>
  <r>
    <d v="2022-12-09T00:00:00"/>
    <x v="1"/>
    <x v="11"/>
    <x v="8"/>
    <x v="1"/>
    <x v="2"/>
    <x v="9"/>
    <s v="King Size Bed"/>
    <n v="47945"/>
    <n v="6"/>
    <n v="5535.69"/>
  </r>
  <r>
    <d v="2022-12-11T00:00:00"/>
    <x v="1"/>
    <x v="11"/>
    <x v="7"/>
    <x v="4"/>
    <x v="2"/>
    <x v="3"/>
    <s v="Wooden Bookcase"/>
    <n v="29191"/>
    <n v="5"/>
    <n v="4731.88"/>
  </r>
  <r>
    <d v="2022-12-12T00:00:00"/>
    <x v="1"/>
    <x v="11"/>
    <x v="6"/>
    <x v="4"/>
    <x v="2"/>
    <x v="4"/>
    <s v="Dining Table"/>
    <n v="34475"/>
    <n v="9"/>
    <n v="5772.77"/>
  </r>
  <r>
    <d v="2022-12-19T00:00:00"/>
    <x v="1"/>
    <x v="11"/>
    <x v="6"/>
    <x v="5"/>
    <x v="0"/>
    <x v="8"/>
    <s v="Dell Inspiron"/>
    <n v="55602"/>
    <n v="9"/>
    <n v="5845.67"/>
  </r>
  <r>
    <d v="2022-12-21T00:00:00"/>
    <x v="1"/>
    <x v="11"/>
    <x v="4"/>
    <x v="2"/>
    <x v="1"/>
    <x v="6"/>
    <s v="A4 Paper Pack"/>
    <n v="47869"/>
    <n v="3"/>
    <n v="4089.94"/>
  </r>
  <r>
    <d v="2022-12-21T00:00:00"/>
    <x v="1"/>
    <x v="11"/>
    <x v="7"/>
    <x v="2"/>
    <x v="2"/>
    <x v="13"/>
    <s v="Plastic Chair"/>
    <n v="28340"/>
    <n v="6"/>
    <n v="4779.87"/>
  </r>
  <r>
    <d v="2022-12-22T00:00:00"/>
    <x v="1"/>
    <x v="11"/>
    <x v="4"/>
    <x v="3"/>
    <x v="2"/>
    <x v="3"/>
    <s v="Wooden Bookcase"/>
    <n v="6989"/>
    <n v="10"/>
    <n v="881.4"/>
  </r>
  <r>
    <d v="2022-12-26T00:00:00"/>
    <x v="1"/>
    <x v="11"/>
    <x v="1"/>
    <x v="5"/>
    <x v="2"/>
    <x v="4"/>
    <s v="Study Table"/>
    <n v="51325"/>
    <n v="9"/>
    <n v="9372.98"/>
  </r>
  <r>
    <d v="2023-01-03T00:00:00"/>
    <x v="2"/>
    <x v="0"/>
    <x v="6"/>
    <x v="3"/>
    <x v="1"/>
    <x v="6"/>
    <s v="A4 Paper Pack"/>
    <n v="58823"/>
    <n v="8"/>
    <n v="11368.33"/>
  </r>
  <r>
    <d v="2023-01-04T00:00:00"/>
    <x v="2"/>
    <x v="0"/>
    <x v="9"/>
    <x v="4"/>
    <x v="2"/>
    <x v="4"/>
    <s v="Study Table"/>
    <n v="51972"/>
    <n v="4"/>
    <n v="7189.18"/>
  </r>
  <r>
    <d v="2023-01-06T00:00:00"/>
    <x v="2"/>
    <x v="0"/>
    <x v="1"/>
    <x v="5"/>
    <x v="0"/>
    <x v="12"/>
    <s v="Wireless Mouse"/>
    <n v="828"/>
    <n v="8"/>
    <n v="58.36"/>
  </r>
  <r>
    <d v="2023-01-07T00:00:00"/>
    <x v="2"/>
    <x v="0"/>
    <x v="5"/>
    <x v="1"/>
    <x v="1"/>
    <x v="2"/>
    <s v="Plastic Box"/>
    <n v="46182"/>
    <n v="9"/>
    <n v="6422.67"/>
  </r>
  <r>
    <d v="2023-01-09T00:00:00"/>
    <x v="2"/>
    <x v="0"/>
    <x v="2"/>
    <x v="0"/>
    <x v="0"/>
    <x v="8"/>
    <s v="Dell Inspiron"/>
    <n v="450"/>
    <n v="7"/>
    <n v="28.41"/>
  </r>
  <r>
    <d v="2023-01-14T00:00:00"/>
    <x v="2"/>
    <x v="0"/>
    <x v="7"/>
    <x v="5"/>
    <x v="0"/>
    <x v="0"/>
    <s v="Samsung Galaxy"/>
    <n v="57787"/>
    <n v="5"/>
    <n v="4964.93"/>
  </r>
  <r>
    <d v="2023-01-20T00:00:00"/>
    <x v="2"/>
    <x v="0"/>
    <x v="1"/>
    <x v="1"/>
    <x v="0"/>
    <x v="8"/>
    <s v="HP Pavilion"/>
    <n v="50260"/>
    <n v="7"/>
    <n v="5271.8"/>
  </r>
  <r>
    <d v="2023-01-20T00:00:00"/>
    <x v="2"/>
    <x v="0"/>
    <x v="6"/>
    <x v="3"/>
    <x v="2"/>
    <x v="9"/>
    <s v="King Size Bed"/>
    <n v="21563"/>
    <n v="4"/>
    <n v="2558.0700000000002"/>
  </r>
  <r>
    <d v="2023-01-24T00:00:00"/>
    <x v="2"/>
    <x v="0"/>
    <x v="2"/>
    <x v="3"/>
    <x v="2"/>
    <x v="11"/>
    <s v="Leather Sofa"/>
    <n v="10509"/>
    <n v="5"/>
    <n v="1744.49"/>
  </r>
  <r>
    <d v="2023-01-26T00:00:00"/>
    <x v="2"/>
    <x v="0"/>
    <x v="5"/>
    <x v="5"/>
    <x v="0"/>
    <x v="0"/>
    <s v="Samsung Galaxy"/>
    <n v="54706"/>
    <n v="5"/>
    <n v="3364.95"/>
  </r>
  <r>
    <d v="2023-01-27T00:00:00"/>
    <x v="2"/>
    <x v="0"/>
    <x v="0"/>
    <x v="0"/>
    <x v="2"/>
    <x v="3"/>
    <s v="Wooden Bookcase"/>
    <n v="12427"/>
    <n v="8"/>
    <n v="704.52"/>
  </r>
  <r>
    <d v="2023-02-03T00:00:00"/>
    <x v="2"/>
    <x v="1"/>
    <x v="3"/>
    <x v="3"/>
    <x v="1"/>
    <x v="6"/>
    <s v="A4 Paper Pack"/>
    <n v="18739"/>
    <n v="7"/>
    <n v="2085.94"/>
  </r>
  <r>
    <d v="2023-02-05T00:00:00"/>
    <x v="2"/>
    <x v="1"/>
    <x v="3"/>
    <x v="2"/>
    <x v="1"/>
    <x v="5"/>
    <s v="Ball Pens Set"/>
    <n v="46372"/>
    <n v="7"/>
    <n v="6394.81"/>
  </r>
  <r>
    <d v="2023-02-06T00:00:00"/>
    <x v="2"/>
    <x v="1"/>
    <x v="2"/>
    <x v="3"/>
    <x v="1"/>
    <x v="6"/>
    <s v="A4 Paper Pack"/>
    <n v="25833"/>
    <n v="8"/>
    <n v="4284.4399999999996"/>
  </r>
  <r>
    <d v="2023-02-09T00:00:00"/>
    <x v="2"/>
    <x v="1"/>
    <x v="3"/>
    <x v="1"/>
    <x v="0"/>
    <x v="10"/>
    <s v="LG Monitor"/>
    <n v="5459"/>
    <n v="9"/>
    <n v="381.85"/>
  </r>
  <r>
    <d v="2023-02-11T00:00:00"/>
    <x v="2"/>
    <x v="1"/>
    <x v="7"/>
    <x v="0"/>
    <x v="1"/>
    <x v="5"/>
    <s v="Ball Pens Set"/>
    <n v="56009"/>
    <n v="6"/>
    <n v="6656.65"/>
  </r>
  <r>
    <d v="2023-02-15T00:00:00"/>
    <x v="2"/>
    <x v="1"/>
    <x v="2"/>
    <x v="2"/>
    <x v="0"/>
    <x v="12"/>
    <s v="Wireless Mouse"/>
    <n v="5364"/>
    <n v="9"/>
    <n v="504.09"/>
  </r>
  <r>
    <d v="2023-02-19T00:00:00"/>
    <x v="2"/>
    <x v="1"/>
    <x v="6"/>
    <x v="2"/>
    <x v="1"/>
    <x v="5"/>
    <s v="Ball Pens Set"/>
    <n v="30756"/>
    <n v="9"/>
    <n v="4530.6099999999997"/>
  </r>
  <r>
    <d v="2023-02-21T00:00:00"/>
    <x v="2"/>
    <x v="1"/>
    <x v="6"/>
    <x v="1"/>
    <x v="0"/>
    <x v="0"/>
    <s v="Samsung Galaxy"/>
    <n v="37681"/>
    <n v="6"/>
    <n v="5132.97"/>
  </r>
  <r>
    <d v="2023-02-24T00:00:00"/>
    <x v="2"/>
    <x v="1"/>
    <x v="9"/>
    <x v="5"/>
    <x v="2"/>
    <x v="11"/>
    <s v="Leather Sofa"/>
    <n v="10035"/>
    <n v="3"/>
    <n v="1903.38"/>
  </r>
  <r>
    <d v="2023-02-25T00:00:00"/>
    <x v="2"/>
    <x v="1"/>
    <x v="4"/>
    <x v="1"/>
    <x v="2"/>
    <x v="11"/>
    <s v="Leather Sofa"/>
    <n v="12691"/>
    <n v="10"/>
    <n v="1602.06"/>
  </r>
  <r>
    <d v="2023-03-07T00:00:00"/>
    <x v="2"/>
    <x v="2"/>
    <x v="8"/>
    <x v="0"/>
    <x v="2"/>
    <x v="9"/>
    <s v="King Size Bed"/>
    <n v="29929"/>
    <n v="6"/>
    <n v="4506.5"/>
  </r>
  <r>
    <d v="2023-03-07T00:00:00"/>
    <x v="2"/>
    <x v="2"/>
    <x v="2"/>
    <x v="4"/>
    <x v="0"/>
    <x v="10"/>
    <s v="LG Monitor"/>
    <n v="48482"/>
    <n v="1"/>
    <n v="6664.02"/>
  </r>
  <r>
    <d v="2023-03-08T00:00:00"/>
    <x v="2"/>
    <x v="2"/>
    <x v="5"/>
    <x v="5"/>
    <x v="0"/>
    <x v="12"/>
    <s v="Keyboard"/>
    <n v="491"/>
    <n v="4"/>
    <n v="39.71"/>
  </r>
  <r>
    <d v="2023-03-20T00:00:00"/>
    <x v="2"/>
    <x v="2"/>
    <x v="4"/>
    <x v="2"/>
    <x v="2"/>
    <x v="9"/>
    <s v="King Size Bed"/>
    <n v="53833"/>
    <n v="6"/>
    <n v="10400.07"/>
  </r>
  <r>
    <d v="2023-03-22T00:00:00"/>
    <x v="2"/>
    <x v="2"/>
    <x v="4"/>
    <x v="4"/>
    <x v="0"/>
    <x v="8"/>
    <s v="HP Pavilion"/>
    <n v="58178"/>
    <n v="8"/>
    <n v="4155.7"/>
  </r>
  <r>
    <d v="2023-03-22T00:00:00"/>
    <x v="2"/>
    <x v="2"/>
    <x v="9"/>
    <x v="3"/>
    <x v="1"/>
    <x v="2"/>
    <s v="Plastic Box"/>
    <n v="58499"/>
    <n v="6"/>
    <n v="8984.1"/>
  </r>
  <r>
    <d v="2023-03-28T00:00:00"/>
    <x v="2"/>
    <x v="2"/>
    <x v="5"/>
    <x v="2"/>
    <x v="0"/>
    <x v="1"/>
    <s v="HP Printer"/>
    <n v="8769"/>
    <n v="6"/>
    <n v="1115.83"/>
  </r>
  <r>
    <d v="2023-03-29T00:00:00"/>
    <x v="2"/>
    <x v="2"/>
    <x v="8"/>
    <x v="0"/>
    <x v="1"/>
    <x v="6"/>
    <s v="A4 Paper Pack"/>
    <n v="44219"/>
    <n v="6"/>
    <n v="5116.8"/>
  </r>
  <r>
    <d v="2023-04-02T00:00:00"/>
    <x v="2"/>
    <x v="3"/>
    <x v="2"/>
    <x v="3"/>
    <x v="2"/>
    <x v="13"/>
    <s v="Plastic Chair"/>
    <n v="17746"/>
    <n v="2"/>
    <n v="1448.92"/>
  </r>
  <r>
    <d v="2023-04-07T00:00:00"/>
    <x v="2"/>
    <x v="3"/>
    <x v="9"/>
    <x v="1"/>
    <x v="1"/>
    <x v="7"/>
    <s v="Ring Binder"/>
    <n v="27223"/>
    <n v="1"/>
    <n v="3636.17"/>
  </r>
  <r>
    <d v="2023-04-12T00:00:00"/>
    <x v="2"/>
    <x v="3"/>
    <x v="7"/>
    <x v="2"/>
    <x v="0"/>
    <x v="0"/>
    <s v="iPhone"/>
    <n v="30280"/>
    <n v="10"/>
    <n v="2618.65"/>
  </r>
  <r>
    <d v="2023-04-19T00:00:00"/>
    <x v="2"/>
    <x v="3"/>
    <x v="3"/>
    <x v="3"/>
    <x v="1"/>
    <x v="2"/>
    <s v="Plastic Box"/>
    <n v="54158"/>
    <n v="10"/>
    <n v="3307.03"/>
  </r>
  <r>
    <d v="2023-04-22T00:00:00"/>
    <x v="2"/>
    <x v="3"/>
    <x v="5"/>
    <x v="1"/>
    <x v="0"/>
    <x v="1"/>
    <s v="HP Printer"/>
    <n v="30806"/>
    <n v="1"/>
    <n v="4651.8500000000004"/>
  </r>
  <r>
    <d v="2023-04-22T00:00:00"/>
    <x v="2"/>
    <x v="3"/>
    <x v="2"/>
    <x v="2"/>
    <x v="1"/>
    <x v="2"/>
    <s v="Plastic Box"/>
    <n v="24074"/>
    <n v="4"/>
    <n v="4704.9799999999996"/>
  </r>
  <r>
    <d v="2023-04-23T00:00:00"/>
    <x v="2"/>
    <x v="3"/>
    <x v="4"/>
    <x v="3"/>
    <x v="1"/>
    <x v="7"/>
    <s v="Ring Binder"/>
    <n v="4085"/>
    <n v="5"/>
    <n v="735.53"/>
  </r>
  <r>
    <d v="2023-04-24T00:00:00"/>
    <x v="2"/>
    <x v="3"/>
    <x v="1"/>
    <x v="5"/>
    <x v="2"/>
    <x v="4"/>
    <s v="Dining Table"/>
    <n v="45660"/>
    <n v="8"/>
    <n v="4257"/>
  </r>
  <r>
    <d v="2023-04-24T00:00:00"/>
    <x v="2"/>
    <x v="3"/>
    <x v="5"/>
    <x v="1"/>
    <x v="0"/>
    <x v="8"/>
    <s v="Dell Inspiron"/>
    <n v="40575"/>
    <n v="8"/>
    <n v="7262.7"/>
  </r>
  <r>
    <d v="2023-04-27T00:00:00"/>
    <x v="2"/>
    <x v="3"/>
    <x v="2"/>
    <x v="0"/>
    <x v="2"/>
    <x v="9"/>
    <s v="King Size Bed"/>
    <n v="3752"/>
    <n v="4"/>
    <n v="479.38"/>
  </r>
  <r>
    <d v="2023-04-27T00:00:00"/>
    <x v="2"/>
    <x v="3"/>
    <x v="2"/>
    <x v="3"/>
    <x v="0"/>
    <x v="8"/>
    <s v="Dell Inspiron"/>
    <n v="19893"/>
    <n v="5"/>
    <n v="1176.54"/>
  </r>
  <r>
    <d v="2023-05-02T00:00:00"/>
    <x v="2"/>
    <x v="4"/>
    <x v="2"/>
    <x v="4"/>
    <x v="2"/>
    <x v="4"/>
    <s v="Dining Table"/>
    <n v="31935"/>
    <n v="8"/>
    <n v="2574.0700000000002"/>
  </r>
  <r>
    <d v="2023-05-07T00:00:00"/>
    <x v="2"/>
    <x v="4"/>
    <x v="1"/>
    <x v="4"/>
    <x v="2"/>
    <x v="9"/>
    <s v="King Size Bed"/>
    <n v="39287"/>
    <n v="3"/>
    <n v="5351.71"/>
  </r>
  <r>
    <d v="2023-05-12T00:00:00"/>
    <x v="2"/>
    <x v="4"/>
    <x v="6"/>
    <x v="5"/>
    <x v="1"/>
    <x v="7"/>
    <s v="Ring Binder"/>
    <n v="43562"/>
    <n v="2"/>
    <n v="6506.96"/>
  </r>
  <r>
    <d v="2023-05-13T00:00:00"/>
    <x v="2"/>
    <x v="4"/>
    <x v="0"/>
    <x v="0"/>
    <x v="0"/>
    <x v="0"/>
    <s v="Samsung Galaxy"/>
    <n v="34677"/>
    <n v="2"/>
    <n v="5612.47"/>
  </r>
  <r>
    <d v="2023-05-15T00:00:00"/>
    <x v="2"/>
    <x v="4"/>
    <x v="7"/>
    <x v="0"/>
    <x v="1"/>
    <x v="5"/>
    <s v="Ball Pens Set"/>
    <n v="45684"/>
    <n v="3"/>
    <n v="5557.69"/>
  </r>
  <r>
    <d v="2023-05-18T00:00:00"/>
    <x v="2"/>
    <x v="4"/>
    <x v="4"/>
    <x v="5"/>
    <x v="2"/>
    <x v="4"/>
    <s v="Study Table"/>
    <n v="5335"/>
    <n v="7"/>
    <n v="428.34"/>
  </r>
  <r>
    <d v="2023-05-21T00:00:00"/>
    <x v="2"/>
    <x v="4"/>
    <x v="8"/>
    <x v="0"/>
    <x v="1"/>
    <x v="7"/>
    <s v="Ring Binder"/>
    <n v="14541"/>
    <n v="3"/>
    <n v="2480.9299999999998"/>
  </r>
  <r>
    <d v="2023-05-25T00:00:00"/>
    <x v="2"/>
    <x v="4"/>
    <x v="4"/>
    <x v="3"/>
    <x v="0"/>
    <x v="0"/>
    <s v="iPhone"/>
    <n v="20681"/>
    <n v="5"/>
    <n v="2195.19"/>
  </r>
  <r>
    <d v="2023-05-30T00:00:00"/>
    <x v="2"/>
    <x v="4"/>
    <x v="9"/>
    <x v="4"/>
    <x v="0"/>
    <x v="1"/>
    <s v="HP Printer"/>
    <n v="43157"/>
    <n v="2"/>
    <n v="6713.27"/>
  </r>
  <r>
    <d v="2023-06-01T00:00:00"/>
    <x v="2"/>
    <x v="5"/>
    <x v="3"/>
    <x v="1"/>
    <x v="2"/>
    <x v="11"/>
    <s v="Leather Sofa"/>
    <n v="39682"/>
    <n v="3"/>
    <n v="5230.93"/>
  </r>
  <r>
    <d v="2023-06-03T00:00:00"/>
    <x v="2"/>
    <x v="5"/>
    <x v="5"/>
    <x v="3"/>
    <x v="1"/>
    <x v="6"/>
    <s v="A4 Paper Pack"/>
    <n v="4785"/>
    <n v="6"/>
    <n v="686.52"/>
  </r>
  <r>
    <d v="2023-06-06T00:00:00"/>
    <x v="2"/>
    <x v="5"/>
    <x v="8"/>
    <x v="4"/>
    <x v="1"/>
    <x v="6"/>
    <s v="A4 Paper Pack"/>
    <n v="33155"/>
    <n v="1"/>
    <n v="5792.46"/>
  </r>
  <r>
    <d v="2023-06-07T00:00:00"/>
    <x v="2"/>
    <x v="5"/>
    <x v="1"/>
    <x v="4"/>
    <x v="0"/>
    <x v="10"/>
    <s v="LG Monitor"/>
    <n v="23936"/>
    <n v="8"/>
    <n v="3736.32"/>
  </r>
  <r>
    <d v="2023-06-08T00:00:00"/>
    <x v="2"/>
    <x v="5"/>
    <x v="0"/>
    <x v="2"/>
    <x v="0"/>
    <x v="10"/>
    <s v="LG Monitor"/>
    <n v="58394"/>
    <n v="3"/>
    <n v="5921.73"/>
  </r>
  <r>
    <d v="2023-06-12T00:00:00"/>
    <x v="2"/>
    <x v="5"/>
    <x v="1"/>
    <x v="2"/>
    <x v="0"/>
    <x v="0"/>
    <s v="Samsung Galaxy"/>
    <n v="38792"/>
    <n v="7"/>
    <n v="4988.43"/>
  </r>
  <r>
    <d v="2023-06-14T00:00:00"/>
    <x v="2"/>
    <x v="5"/>
    <x v="4"/>
    <x v="3"/>
    <x v="0"/>
    <x v="8"/>
    <s v="Dell Inspiron"/>
    <n v="52094"/>
    <n v="8"/>
    <n v="7677.46"/>
  </r>
  <r>
    <d v="2023-06-17T00:00:00"/>
    <x v="2"/>
    <x v="5"/>
    <x v="2"/>
    <x v="3"/>
    <x v="0"/>
    <x v="1"/>
    <s v="HP Printer"/>
    <n v="54840"/>
    <n v="9"/>
    <n v="8529.32"/>
  </r>
  <r>
    <d v="2023-06-17T00:00:00"/>
    <x v="2"/>
    <x v="5"/>
    <x v="5"/>
    <x v="0"/>
    <x v="1"/>
    <x v="2"/>
    <s v="Plastic Box"/>
    <n v="52477"/>
    <n v="5"/>
    <n v="9167.33"/>
  </r>
  <r>
    <d v="2023-06-17T00:00:00"/>
    <x v="2"/>
    <x v="5"/>
    <x v="6"/>
    <x v="1"/>
    <x v="0"/>
    <x v="10"/>
    <s v="LG Monitor"/>
    <n v="47516"/>
    <n v="8"/>
    <n v="4648.8"/>
  </r>
  <r>
    <d v="2023-06-18T00:00:00"/>
    <x v="2"/>
    <x v="5"/>
    <x v="9"/>
    <x v="4"/>
    <x v="1"/>
    <x v="7"/>
    <s v="Ring Binder"/>
    <n v="15557"/>
    <n v="9"/>
    <n v="1284.8599999999999"/>
  </r>
  <r>
    <d v="2023-06-19T00:00:00"/>
    <x v="2"/>
    <x v="5"/>
    <x v="1"/>
    <x v="2"/>
    <x v="2"/>
    <x v="3"/>
    <s v="Wooden Bookcase"/>
    <n v="8349"/>
    <n v="8"/>
    <n v="1279.92"/>
  </r>
  <r>
    <d v="2023-06-20T00:00:00"/>
    <x v="2"/>
    <x v="5"/>
    <x v="3"/>
    <x v="2"/>
    <x v="0"/>
    <x v="8"/>
    <s v="HP Pavilion"/>
    <n v="5277"/>
    <n v="5"/>
    <n v="449.46"/>
  </r>
  <r>
    <d v="2023-06-21T00:00:00"/>
    <x v="2"/>
    <x v="5"/>
    <x v="2"/>
    <x v="4"/>
    <x v="1"/>
    <x v="2"/>
    <s v="Plastic Box"/>
    <n v="22137"/>
    <n v="7"/>
    <n v="3814.68"/>
  </r>
  <r>
    <d v="2023-06-22T00:00:00"/>
    <x v="2"/>
    <x v="5"/>
    <x v="6"/>
    <x v="0"/>
    <x v="0"/>
    <x v="10"/>
    <s v="LG Monitor"/>
    <n v="22528"/>
    <n v="3"/>
    <n v="4389.01"/>
  </r>
  <r>
    <d v="2023-06-22T00:00:00"/>
    <x v="2"/>
    <x v="5"/>
    <x v="4"/>
    <x v="1"/>
    <x v="2"/>
    <x v="13"/>
    <s v="Plastic Chair"/>
    <n v="2386"/>
    <n v="10"/>
    <n v="249.88"/>
  </r>
  <r>
    <d v="2023-06-23T00:00:00"/>
    <x v="2"/>
    <x v="5"/>
    <x v="5"/>
    <x v="3"/>
    <x v="0"/>
    <x v="12"/>
    <s v="Wireless Mouse"/>
    <n v="36005"/>
    <n v="4"/>
    <n v="7145.78"/>
  </r>
  <r>
    <d v="2023-06-25T00:00:00"/>
    <x v="2"/>
    <x v="5"/>
    <x v="4"/>
    <x v="3"/>
    <x v="0"/>
    <x v="10"/>
    <s v="LG Monitor"/>
    <n v="44477"/>
    <n v="4"/>
    <n v="5634.17"/>
  </r>
  <r>
    <d v="2023-06-28T00:00:00"/>
    <x v="2"/>
    <x v="5"/>
    <x v="5"/>
    <x v="3"/>
    <x v="1"/>
    <x v="5"/>
    <s v="Ball Pens Set"/>
    <n v="29343"/>
    <n v="4"/>
    <n v="5232.37"/>
  </r>
  <r>
    <d v="2023-07-04T00:00:00"/>
    <x v="2"/>
    <x v="6"/>
    <x v="8"/>
    <x v="5"/>
    <x v="1"/>
    <x v="2"/>
    <s v="Plastic Box"/>
    <n v="35496"/>
    <n v="8"/>
    <n v="3612.38"/>
  </r>
  <r>
    <d v="2023-07-04T00:00:00"/>
    <x v="2"/>
    <x v="6"/>
    <x v="6"/>
    <x v="5"/>
    <x v="0"/>
    <x v="10"/>
    <s v="LG Monitor"/>
    <n v="49598"/>
    <n v="5"/>
    <n v="9577.6299999999992"/>
  </r>
  <r>
    <d v="2023-07-04T00:00:00"/>
    <x v="2"/>
    <x v="6"/>
    <x v="5"/>
    <x v="2"/>
    <x v="1"/>
    <x v="7"/>
    <s v="Ring Binder"/>
    <n v="946"/>
    <n v="5"/>
    <n v="77.05"/>
  </r>
  <r>
    <d v="2023-07-09T00:00:00"/>
    <x v="2"/>
    <x v="6"/>
    <x v="5"/>
    <x v="1"/>
    <x v="2"/>
    <x v="4"/>
    <s v="Dining Table"/>
    <n v="36702"/>
    <n v="9"/>
    <n v="4656.24"/>
  </r>
  <r>
    <d v="2023-07-09T00:00:00"/>
    <x v="2"/>
    <x v="6"/>
    <x v="8"/>
    <x v="5"/>
    <x v="0"/>
    <x v="10"/>
    <s v="LG Monitor"/>
    <n v="39386"/>
    <n v="8"/>
    <n v="5409.14"/>
  </r>
  <r>
    <d v="2023-07-12T00:00:00"/>
    <x v="2"/>
    <x v="6"/>
    <x v="2"/>
    <x v="0"/>
    <x v="1"/>
    <x v="6"/>
    <s v="A4 Paper Pack"/>
    <n v="59739"/>
    <n v="8"/>
    <n v="5651.49"/>
  </r>
  <r>
    <d v="2023-07-12T00:00:00"/>
    <x v="2"/>
    <x v="6"/>
    <x v="1"/>
    <x v="0"/>
    <x v="0"/>
    <x v="0"/>
    <s v="iPhone"/>
    <n v="32352"/>
    <n v="4"/>
    <n v="3344.28"/>
  </r>
  <r>
    <d v="2023-07-13T00:00:00"/>
    <x v="2"/>
    <x v="6"/>
    <x v="1"/>
    <x v="1"/>
    <x v="0"/>
    <x v="0"/>
    <s v="Samsung Galaxy"/>
    <n v="58175"/>
    <n v="6"/>
    <n v="11028.28"/>
  </r>
  <r>
    <d v="2023-07-14T00:00:00"/>
    <x v="2"/>
    <x v="6"/>
    <x v="0"/>
    <x v="0"/>
    <x v="1"/>
    <x v="6"/>
    <s v="A4 Paper Pack"/>
    <n v="58401"/>
    <n v="4"/>
    <n v="6545.12"/>
  </r>
  <r>
    <d v="2023-07-14T00:00:00"/>
    <x v="2"/>
    <x v="6"/>
    <x v="3"/>
    <x v="2"/>
    <x v="1"/>
    <x v="6"/>
    <s v="A4 Paper Pack"/>
    <n v="5030"/>
    <n v="1"/>
    <n v="474.01"/>
  </r>
  <r>
    <d v="2023-07-15T00:00:00"/>
    <x v="2"/>
    <x v="6"/>
    <x v="9"/>
    <x v="3"/>
    <x v="0"/>
    <x v="12"/>
    <s v="Wireless Mouse"/>
    <n v="33219"/>
    <n v="4"/>
    <n v="6371.81"/>
  </r>
  <r>
    <d v="2023-07-15T00:00:00"/>
    <x v="2"/>
    <x v="6"/>
    <x v="5"/>
    <x v="1"/>
    <x v="1"/>
    <x v="5"/>
    <s v="Ball Pens Set"/>
    <n v="20405"/>
    <n v="8"/>
    <n v="1831.37"/>
  </r>
  <r>
    <d v="2023-07-15T00:00:00"/>
    <x v="2"/>
    <x v="6"/>
    <x v="4"/>
    <x v="5"/>
    <x v="1"/>
    <x v="7"/>
    <s v="Ring Binder"/>
    <n v="18125"/>
    <n v="4"/>
    <n v="2975.74"/>
  </r>
  <r>
    <d v="2023-07-17T00:00:00"/>
    <x v="2"/>
    <x v="6"/>
    <x v="7"/>
    <x v="4"/>
    <x v="1"/>
    <x v="5"/>
    <s v="Ball Pens Set"/>
    <n v="18022"/>
    <n v="4"/>
    <n v="1103"/>
  </r>
  <r>
    <d v="2023-07-18T00:00:00"/>
    <x v="2"/>
    <x v="6"/>
    <x v="3"/>
    <x v="4"/>
    <x v="2"/>
    <x v="11"/>
    <s v="Leather Sofa"/>
    <n v="41860"/>
    <n v="6"/>
    <n v="3114.31"/>
  </r>
  <r>
    <d v="2023-07-19T00:00:00"/>
    <x v="2"/>
    <x v="6"/>
    <x v="5"/>
    <x v="3"/>
    <x v="0"/>
    <x v="10"/>
    <s v="LG Monitor"/>
    <n v="33331"/>
    <n v="10"/>
    <n v="3817.4"/>
  </r>
  <r>
    <d v="2023-07-21T00:00:00"/>
    <x v="2"/>
    <x v="6"/>
    <x v="5"/>
    <x v="3"/>
    <x v="1"/>
    <x v="5"/>
    <s v="Ball Pens Set"/>
    <n v="32184"/>
    <n v="6"/>
    <n v="4418.6499999999996"/>
  </r>
  <r>
    <d v="2023-07-27T00:00:00"/>
    <x v="2"/>
    <x v="6"/>
    <x v="7"/>
    <x v="1"/>
    <x v="2"/>
    <x v="4"/>
    <s v="Study Table"/>
    <n v="2623"/>
    <n v="5"/>
    <n v="210.47"/>
  </r>
  <r>
    <d v="2023-07-27T00:00:00"/>
    <x v="2"/>
    <x v="6"/>
    <x v="1"/>
    <x v="2"/>
    <x v="1"/>
    <x v="2"/>
    <s v="Plastic Box"/>
    <n v="7210"/>
    <n v="3"/>
    <n v="689.99"/>
  </r>
  <r>
    <d v="2023-07-31T00:00:00"/>
    <x v="2"/>
    <x v="6"/>
    <x v="3"/>
    <x v="3"/>
    <x v="0"/>
    <x v="1"/>
    <s v="HP Printer"/>
    <n v="59976"/>
    <n v="9"/>
    <n v="6078.51"/>
  </r>
  <r>
    <d v="2023-08-04T00:00:00"/>
    <x v="2"/>
    <x v="7"/>
    <x v="8"/>
    <x v="5"/>
    <x v="0"/>
    <x v="12"/>
    <s v="Keyboard"/>
    <n v="50625"/>
    <n v="5"/>
    <n v="8440.1299999999992"/>
  </r>
  <r>
    <d v="2023-08-07T00:00:00"/>
    <x v="2"/>
    <x v="7"/>
    <x v="1"/>
    <x v="5"/>
    <x v="2"/>
    <x v="3"/>
    <s v="Wooden Bookcase"/>
    <n v="3976"/>
    <n v="9"/>
    <n v="444.92"/>
  </r>
  <r>
    <d v="2023-08-10T00:00:00"/>
    <x v="2"/>
    <x v="7"/>
    <x v="3"/>
    <x v="1"/>
    <x v="0"/>
    <x v="10"/>
    <s v="LG Monitor"/>
    <n v="37545"/>
    <n v="10"/>
    <n v="5640.32"/>
  </r>
  <r>
    <d v="2023-08-11T00:00:00"/>
    <x v="2"/>
    <x v="7"/>
    <x v="7"/>
    <x v="1"/>
    <x v="1"/>
    <x v="5"/>
    <s v="Ball Pens Set"/>
    <n v="28745"/>
    <n v="10"/>
    <n v="2594.5"/>
  </r>
  <r>
    <d v="2023-08-13T00:00:00"/>
    <x v="2"/>
    <x v="7"/>
    <x v="3"/>
    <x v="4"/>
    <x v="0"/>
    <x v="12"/>
    <s v="Keyboard"/>
    <n v="6662"/>
    <n v="8"/>
    <n v="1094.2"/>
  </r>
  <r>
    <d v="2023-08-16T00:00:00"/>
    <x v="2"/>
    <x v="7"/>
    <x v="1"/>
    <x v="5"/>
    <x v="1"/>
    <x v="2"/>
    <s v="Plastic Box"/>
    <n v="8564"/>
    <n v="10"/>
    <n v="1114.3399999999999"/>
  </r>
  <r>
    <d v="2023-08-21T00:00:00"/>
    <x v="2"/>
    <x v="7"/>
    <x v="6"/>
    <x v="3"/>
    <x v="1"/>
    <x v="7"/>
    <s v="Ring Binder"/>
    <n v="3053"/>
    <n v="7"/>
    <n v="601.91999999999996"/>
  </r>
  <r>
    <d v="2023-08-22T00:00:00"/>
    <x v="2"/>
    <x v="7"/>
    <x v="3"/>
    <x v="4"/>
    <x v="0"/>
    <x v="1"/>
    <s v="HP Printer"/>
    <n v="1470"/>
    <n v="9"/>
    <n v="84.98"/>
  </r>
  <r>
    <d v="2023-08-23T00:00:00"/>
    <x v="2"/>
    <x v="7"/>
    <x v="5"/>
    <x v="1"/>
    <x v="0"/>
    <x v="12"/>
    <s v="Wireless Mouse"/>
    <n v="50686"/>
    <n v="2"/>
    <n v="2661.19"/>
  </r>
  <r>
    <d v="2023-08-27T00:00:00"/>
    <x v="2"/>
    <x v="7"/>
    <x v="5"/>
    <x v="3"/>
    <x v="1"/>
    <x v="2"/>
    <s v="Plastic Box"/>
    <n v="53120"/>
    <n v="7"/>
    <n v="4173.1899999999996"/>
  </r>
  <r>
    <d v="2023-09-04T00:00:00"/>
    <x v="2"/>
    <x v="8"/>
    <x v="1"/>
    <x v="0"/>
    <x v="1"/>
    <x v="7"/>
    <s v="Ring Binder"/>
    <n v="586"/>
    <n v="6"/>
    <n v="55.55"/>
  </r>
  <r>
    <d v="2023-09-09T00:00:00"/>
    <x v="2"/>
    <x v="8"/>
    <x v="9"/>
    <x v="4"/>
    <x v="2"/>
    <x v="4"/>
    <s v="Study Table"/>
    <n v="13889"/>
    <n v="6"/>
    <n v="1326.1"/>
  </r>
  <r>
    <d v="2023-09-09T00:00:00"/>
    <x v="2"/>
    <x v="8"/>
    <x v="3"/>
    <x v="2"/>
    <x v="0"/>
    <x v="1"/>
    <s v="HP Printer"/>
    <n v="20790"/>
    <n v="3"/>
    <n v="4047.53"/>
  </r>
  <r>
    <d v="2023-09-17T00:00:00"/>
    <x v="2"/>
    <x v="8"/>
    <x v="0"/>
    <x v="1"/>
    <x v="1"/>
    <x v="7"/>
    <s v="Ring Binder"/>
    <n v="32189"/>
    <n v="2"/>
    <n v="5895.06"/>
  </r>
  <r>
    <d v="2023-09-26T00:00:00"/>
    <x v="2"/>
    <x v="8"/>
    <x v="3"/>
    <x v="2"/>
    <x v="0"/>
    <x v="1"/>
    <s v="HP Printer"/>
    <n v="14101"/>
    <n v="6"/>
    <n v="2392.59"/>
  </r>
  <r>
    <d v="2023-09-29T00:00:00"/>
    <x v="2"/>
    <x v="8"/>
    <x v="8"/>
    <x v="0"/>
    <x v="0"/>
    <x v="10"/>
    <s v="LG Monitor"/>
    <n v="58846"/>
    <n v="5"/>
    <n v="3746.76"/>
  </r>
  <r>
    <d v="2023-10-05T00:00:00"/>
    <x v="2"/>
    <x v="9"/>
    <x v="9"/>
    <x v="4"/>
    <x v="2"/>
    <x v="13"/>
    <s v="Plastic Chair"/>
    <n v="5055"/>
    <n v="10"/>
    <n v="730.03"/>
  </r>
  <r>
    <d v="2023-10-06T00:00:00"/>
    <x v="2"/>
    <x v="9"/>
    <x v="9"/>
    <x v="1"/>
    <x v="1"/>
    <x v="6"/>
    <s v="A4 Paper Pack"/>
    <n v="35728"/>
    <n v="5"/>
    <n v="2727.24"/>
  </r>
  <r>
    <d v="2023-10-11T00:00:00"/>
    <x v="2"/>
    <x v="9"/>
    <x v="2"/>
    <x v="1"/>
    <x v="1"/>
    <x v="7"/>
    <s v="Ring Binder"/>
    <n v="25489"/>
    <n v="2"/>
    <n v="2196.19"/>
  </r>
  <r>
    <d v="2023-10-18T00:00:00"/>
    <x v="2"/>
    <x v="9"/>
    <x v="6"/>
    <x v="0"/>
    <x v="0"/>
    <x v="8"/>
    <s v="Dell Inspiron"/>
    <n v="33933"/>
    <n v="8"/>
    <n v="4235.3100000000004"/>
  </r>
  <r>
    <d v="2023-10-20T00:00:00"/>
    <x v="2"/>
    <x v="9"/>
    <x v="5"/>
    <x v="2"/>
    <x v="2"/>
    <x v="13"/>
    <s v="Office Chair"/>
    <n v="34130"/>
    <n v="7"/>
    <n v="6383.38"/>
  </r>
  <r>
    <d v="2023-10-22T00:00:00"/>
    <x v="2"/>
    <x v="9"/>
    <x v="9"/>
    <x v="0"/>
    <x v="2"/>
    <x v="11"/>
    <s v="Leather Sofa"/>
    <n v="36816"/>
    <n v="6"/>
    <n v="2238.83"/>
  </r>
  <r>
    <d v="2023-10-24T00:00:00"/>
    <x v="2"/>
    <x v="9"/>
    <x v="3"/>
    <x v="3"/>
    <x v="2"/>
    <x v="3"/>
    <s v="Wooden Bookcase"/>
    <n v="10086"/>
    <n v="1"/>
    <n v="1185.9000000000001"/>
  </r>
  <r>
    <d v="2023-10-28T00:00:00"/>
    <x v="2"/>
    <x v="9"/>
    <x v="9"/>
    <x v="2"/>
    <x v="2"/>
    <x v="13"/>
    <s v="Plastic Chair"/>
    <n v="38779"/>
    <n v="5"/>
    <n v="2910.48"/>
  </r>
  <r>
    <d v="2023-11-02T00:00:00"/>
    <x v="2"/>
    <x v="10"/>
    <x v="3"/>
    <x v="1"/>
    <x v="2"/>
    <x v="13"/>
    <s v="Plastic Chair"/>
    <n v="30165"/>
    <n v="4"/>
    <n v="2481.7199999999998"/>
  </r>
  <r>
    <d v="2023-11-03T00:00:00"/>
    <x v="2"/>
    <x v="10"/>
    <x v="5"/>
    <x v="4"/>
    <x v="2"/>
    <x v="13"/>
    <s v="Office Chair"/>
    <n v="17580"/>
    <n v="3"/>
    <n v="3340"/>
  </r>
  <r>
    <d v="2023-11-06T00:00:00"/>
    <x v="2"/>
    <x v="10"/>
    <x v="8"/>
    <x v="5"/>
    <x v="2"/>
    <x v="3"/>
    <s v="Wooden Bookcase"/>
    <n v="7173"/>
    <n v="5"/>
    <n v="1264.24"/>
  </r>
  <r>
    <d v="2023-11-06T00:00:00"/>
    <x v="2"/>
    <x v="10"/>
    <x v="6"/>
    <x v="5"/>
    <x v="0"/>
    <x v="10"/>
    <s v="LG Monitor"/>
    <n v="17709"/>
    <n v="1"/>
    <n v="1636.77"/>
  </r>
  <r>
    <d v="2023-11-06T00:00:00"/>
    <x v="2"/>
    <x v="10"/>
    <x v="8"/>
    <x v="1"/>
    <x v="2"/>
    <x v="3"/>
    <s v="Wooden Bookcase"/>
    <n v="50720"/>
    <n v="9"/>
    <n v="8889.59"/>
  </r>
  <r>
    <d v="2023-11-09T00:00:00"/>
    <x v="2"/>
    <x v="10"/>
    <x v="0"/>
    <x v="0"/>
    <x v="2"/>
    <x v="11"/>
    <s v="Leather Sofa"/>
    <n v="46429"/>
    <n v="5"/>
    <n v="5215.07"/>
  </r>
  <r>
    <d v="2023-11-09T00:00:00"/>
    <x v="2"/>
    <x v="10"/>
    <x v="9"/>
    <x v="4"/>
    <x v="1"/>
    <x v="7"/>
    <s v="Ring Binder"/>
    <n v="368"/>
    <n v="1"/>
    <n v="65.8"/>
  </r>
  <r>
    <d v="2023-11-12T00:00:00"/>
    <x v="2"/>
    <x v="10"/>
    <x v="8"/>
    <x v="0"/>
    <x v="1"/>
    <x v="2"/>
    <s v="Plastic Box"/>
    <n v="29395"/>
    <n v="1"/>
    <n v="3469.05"/>
  </r>
  <r>
    <d v="2023-11-25T00:00:00"/>
    <x v="2"/>
    <x v="10"/>
    <x v="1"/>
    <x v="0"/>
    <x v="1"/>
    <x v="5"/>
    <s v="Ball Pens Set"/>
    <n v="12721"/>
    <n v="2"/>
    <n v="1096.5899999999999"/>
  </r>
  <r>
    <d v="2023-11-27T00:00:00"/>
    <x v="2"/>
    <x v="10"/>
    <x v="1"/>
    <x v="2"/>
    <x v="2"/>
    <x v="3"/>
    <s v="Wooden Bookcase"/>
    <n v="39975"/>
    <n v="9"/>
    <n v="3129.92"/>
  </r>
  <r>
    <d v="2023-11-29T00:00:00"/>
    <x v="2"/>
    <x v="10"/>
    <x v="0"/>
    <x v="5"/>
    <x v="1"/>
    <x v="7"/>
    <s v="Ring Binder"/>
    <n v="13788"/>
    <n v="9"/>
    <n v="1361.67"/>
  </r>
  <r>
    <d v="2023-11-30T00:00:00"/>
    <x v="2"/>
    <x v="10"/>
    <x v="8"/>
    <x v="4"/>
    <x v="2"/>
    <x v="3"/>
    <s v="Wooden Bookcase"/>
    <n v="30149"/>
    <n v="3"/>
    <n v="4249.17"/>
  </r>
  <r>
    <d v="2023-11-30T00:00:00"/>
    <x v="2"/>
    <x v="10"/>
    <x v="7"/>
    <x v="0"/>
    <x v="1"/>
    <x v="6"/>
    <s v="A4 Paper Pack"/>
    <n v="34482"/>
    <n v="10"/>
    <n v="2216.7199999999998"/>
  </r>
  <r>
    <d v="2023-12-09T00:00:00"/>
    <x v="2"/>
    <x v="11"/>
    <x v="8"/>
    <x v="5"/>
    <x v="0"/>
    <x v="8"/>
    <s v="Dell Inspiron"/>
    <n v="23832"/>
    <n v="2"/>
    <n v="4599.83"/>
  </r>
  <r>
    <d v="2023-12-20T00:00:00"/>
    <x v="2"/>
    <x v="11"/>
    <x v="9"/>
    <x v="2"/>
    <x v="2"/>
    <x v="9"/>
    <s v="King Size Bed"/>
    <n v="8545"/>
    <n v="4"/>
    <n v="1497.28"/>
  </r>
  <r>
    <d v="2023-12-21T00:00:00"/>
    <x v="2"/>
    <x v="11"/>
    <x v="6"/>
    <x v="4"/>
    <x v="2"/>
    <x v="9"/>
    <s v="King Size Bed"/>
    <n v="24248"/>
    <n v="7"/>
    <n v="2355.88"/>
  </r>
  <r>
    <d v="2023-12-23T00:00:00"/>
    <x v="2"/>
    <x v="11"/>
    <x v="3"/>
    <x v="4"/>
    <x v="2"/>
    <x v="13"/>
    <s v="Office Chair"/>
    <n v="14298"/>
    <n v="7"/>
    <n v="1615.31"/>
  </r>
  <r>
    <d v="2023-12-23T00:00:00"/>
    <x v="2"/>
    <x v="11"/>
    <x v="4"/>
    <x v="0"/>
    <x v="1"/>
    <x v="6"/>
    <s v="A4 Paper Pack"/>
    <n v="37115"/>
    <n v="1"/>
    <n v="5253.55"/>
  </r>
  <r>
    <d v="2023-12-26T00:00:00"/>
    <x v="2"/>
    <x v="11"/>
    <x v="3"/>
    <x v="4"/>
    <x v="0"/>
    <x v="12"/>
    <s v="Keyboard"/>
    <n v="25056"/>
    <n v="4"/>
    <n v="2183.0500000000002"/>
  </r>
  <r>
    <d v="2023-12-28T00:00:00"/>
    <x v="2"/>
    <x v="11"/>
    <x v="3"/>
    <x v="1"/>
    <x v="1"/>
    <x v="7"/>
    <s v="Ring Binder"/>
    <n v="28274"/>
    <n v="6"/>
    <n v="1706.15"/>
  </r>
  <r>
    <d v="2023-12-30T00:00:00"/>
    <x v="2"/>
    <x v="11"/>
    <x v="0"/>
    <x v="4"/>
    <x v="1"/>
    <x v="2"/>
    <s v="Plastic Box"/>
    <n v="15874"/>
    <n v="5"/>
    <n v="3092.88"/>
  </r>
  <r>
    <d v="2023-12-31T00:00:00"/>
    <x v="2"/>
    <x v="11"/>
    <x v="7"/>
    <x v="0"/>
    <x v="0"/>
    <x v="1"/>
    <s v="HP Printer"/>
    <n v="26264"/>
    <n v="4"/>
    <n v="5127.24"/>
  </r>
  <r>
    <d v="2024-01-02T00:00:00"/>
    <x v="3"/>
    <x v="0"/>
    <x v="6"/>
    <x v="0"/>
    <x v="1"/>
    <x v="7"/>
    <s v="Ring Binder"/>
    <n v="57880"/>
    <n v="6"/>
    <n v="10515.87"/>
  </r>
  <r>
    <d v="2024-01-03T00:00:00"/>
    <x v="3"/>
    <x v="0"/>
    <x v="1"/>
    <x v="4"/>
    <x v="2"/>
    <x v="13"/>
    <s v="Plastic Chair"/>
    <n v="18988"/>
    <n v="1"/>
    <n v="2379.81"/>
  </r>
  <r>
    <d v="2024-01-06T00:00:00"/>
    <x v="3"/>
    <x v="0"/>
    <x v="2"/>
    <x v="1"/>
    <x v="0"/>
    <x v="12"/>
    <s v="Keyboard"/>
    <n v="52759"/>
    <n v="4"/>
    <n v="8667.19"/>
  </r>
  <r>
    <d v="2024-01-17T00:00:00"/>
    <x v="3"/>
    <x v="0"/>
    <x v="1"/>
    <x v="0"/>
    <x v="0"/>
    <x v="10"/>
    <s v="LG Monitor"/>
    <n v="30734"/>
    <n v="7"/>
    <n v="1823.75"/>
  </r>
  <r>
    <d v="2024-01-18T00:00:00"/>
    <x v="3"/>
    <x v="0"/>
    <x v="7"/>
    <x v="2"/>
    <x v="0"/>
    <x v="1"/>
    <s v="HP Printer"/>
    <n v="31224"/>
    <n v="5"/>
    <n v="1732.72"/>
  </r>
  <r>
    <d v="2024-01-24T00:00:00"/>
    <x v="3"/>
    <x v="0"/>
    <x v="2"/>
    <x v="3"/>
    <x v="0"/>
    <x v="10"/>
    <s v="LG Monitor"/>
    <n v="24798"/>
    <n v="2"/>
    <n v="4322.8100000000004"/>
  </r>
  <r>
    <d v="2024-01-26T00:00:00"/>
    <x v="3"/>
    <x v="0"/>
    <x v="7"/>
    <x v="3"/>
    <x v="0"/>
    <x v="10"/>
    <s v="LG Monitor"/>
    <n v="16763"/>
    <n v="8"/>
    <n v="2602.96"/>
  </r>
  <r>
    <d v="2024-01-31T00:00:00"/>
    <x v="3"/>
    <x v="0"/>
    <x v="6"/>
    <x v="5"/>
    <x v="2"/>
    <x v="11"/>
    <s v="Leather Sofa"/>
    <n v="33676"/>
    <n v="2"/>
    <n v="4576.8100000000004"/>
  </r>
  <r>
    <d v="2024-02-02T00:00:00"/>
    <x v="3"/>
    <x v="1"/>
    <x v="6"/>
    <x v="2"/>
    <x v="1"/>
    <x v="5"/>
    <s v="Ball Pens Set"/>
    <n v="21878"/>
    <n v="6"/>
    <n v="3400.46"/>
  </r>
  <r>
    <d v="2024-02-02T00:00:00"/>
    <x v="3"/>
    <x v="1"/>
    <x v="1"/>
    <x v="4"/>
    <x v="0"/>
    <x v="10"/>
    <s v="LG Monitor"/>
    <n v="31593"/>
    <n v="1"/>
    <n v="1995.36"/>
  </r>
  <r>
    <d v="2024-02-02T00:00:00"/>
    <x v="3"/>
    <x v="1"/>
    <x v="7"/>
    <x v="1"/>
    <x v="2"/>
    <x v="9"/>
    <s v="King Size Bed"/>
    <n v="42360"/>
    <n v="7"/>
    <n v="4680.42"/>
  </r>
  <r>
    <d v="2024-02-05T00:00:00"/>
    <x v="3"/>
    <x v="1"/>
    <x v="0"/>
    <x v="4"/>
    <x v="2"/>
    <x v="9"/>
    <s v="King Size Bed"/>
    <n v="10694"/>
    <n v="6"/>
    <n v="1432.75"/>
  </r>
  <r>
    <d v="2024-02-08T00:00:00"/>
    <x v="3"/>
    <x v="1"/>
    <x v="0"/>
    <x v="5"/>
    <x v="1"/>
    <x v="6"/>
    <s v="A4 Paper Pack"/>
    <n v="19113"/>
    <n v="2"/>
    <n v="2063.29"/>
  </r>
  <r>
    <d v="2024-02-08T00:00:00"/>
    <x v="3"/>
    <x v="1"/>
    <x v="6"/>
    <x v="3"/>
    <x v="1"/>
    <x v="7"/>
    <s v="Ring Binder"/>
    <n v="39587"/>
    <n v="10"/>
    <n v="6261.75"/>
  </r>
  <r>
    <d v="2024-02-11T00:00:00"/>
    <x v="3"/>
    <x v="1"/>
    <x v="4"/>
    <x v="2"/>
    <x v="0"/>
    <x v="12"/>
    <s v="Wireless Mouse"/>
    <n v="11135"/>
    <n v="8"/>
    <n v="1039.18"/>
  </r>
  <r>
    <d v="2024-02-18T00:00:00"/>
    <x v="3"/>
    <x v="1"/>
    <x v="4"/>
    <x v="5"/>
    <x v="0"/>
    <x v="10"/>
    <s v="LG Monitor"/>
    <n v="58662"/>
    <n v="10"/>
    <n v="3413.24"/>
  </r>
  <r>
    <d v="2024-02-19T00:00:00"/>
    <x v="3"/>
    <x v="1"/>
    <x v="1"/>
    <x v="2"/>
    <x v="0"/>
    <x v="12"/>
    <s v="Wireless Mouse"/>
    <n v="30502"/>
    <n v="5"/>
    <n v="4834.32"/>
  </r>
  <r>
    <d v="2024-02-20T00:00:00"/>
    <x v="3"/>
    <x v="1"/>
    <x v="4"/>
    <x v="3"/>
    <x v="0"/>
    <x v="10"/>
    <s v="LG Monitor"/>
    <n v="59523"/>
    <n v="4"/>
    <n v="8082.87"/>
  </r>
  <r>
    <d v="2024-02-22T00:00:00"/>
    <x v="3"/>
    <x v="1"/>
    <x v="3"/>
    <x v="3"/>
    <x v="2"/>
    <x v="11"/>
    <s v="Leather Sofa"/>
    <n v="50493"/>
    <n v="10"/>
    <n v="7068.65"/>
  </r>
  <r>
    <d v="2024-03-01T00:00:00"/>
    <x v="3"/>
    <x v="2"/>
    <x v="5"/>
    <x v="1"/>
    <x v="0"/>
    <x v="8"/>
    <s v="HP Pavilion"/>
    <n v="4239"/>
    <n v="3"/>
    <n v="690.26"/>
  </r>
  <r>
    <d v="2024-03-06T00:00:00"/>
    <x v="3"/>
    <x v="2"/>
    <x v="5"/>
    <x v="1"/>
    <x v="0"/>
    <x v="8"/>
    <s v="Dell Inspiron"/>
    <n v="38730"/>
    <n v="10"/>
    <n v="6342.29"/>
  </r>
  <r>
    <d v="2024-03-08T00:00:00"/>
    <x v="3"/>
    <x v="2"/>
    <x v="4"/>
    <x v="4"/>
    <x v="0"/>
    <x v="1"/>
    <s v="HP Printer"/>
    <n v="39274"/>
    <n v="2"/>
    <n v="7167.56"/>
  </r>
  <r>
    <d v="2024-03-08T00:00:00"/>
    <x v="3"/>
    <x v="2"/>
    <x v="2"/>
    <x v="4"/>
    <x v="2"/>
    <x v="13"/>
    <s v="Plastic Chair"/>
    <n v="2322"/>
    <n v="3"/>
    <n v="325.91000000000003"/>
  </r>
  <r>
    <d v="2024-03-11T00:00:00"/>
    <x v="3"/>
    <x v="2"/>
    <x v="1"/>
    <x v="2"/>
    <x v="2"/>
    <x v="11"/>
    <s v="Leather Sofa"/>
    <n v="44659"/>
    <n v="8"/>
    <n v="3447.19"/>
  </r>
  <r>
    <d v="2024-03-18T00:00:00"/>
    <x v="3"/>
    <x v="2"/>
    <x v="0"/>
    <x v="2"/>
    <x v="2"/>
    <x v="4"/>
    <s v="Study Table"/>
    <n v="46109"/>
    <n v="2"/>
    <n v="3624.98"/>
  </r>
  <r>
    <d v="2024-03-18T00:00:00"/>
    <x v="3"/>
    <x v="2"/>
    <x v="5"/>
    <x v="0"/>
    <x v="0"/>
    <x v="12"/>
    <s v="Keyboard"/>
    <n v="57980"/>
    <n v="4"/>
    <n v="7041.05"/>
  </r>
  <r>
    <d v="2024-03-25T00:00:00"/>
    <x v="3"/>
    <x v="2"/>
    <x v="3"/>
    <x v="4"/>
    <x v="1"/>
    <x v="5"/>
    <s v="Ball Pens Set"/>
    <n v="21099"/>
    <n v="10"/>
    <n v="2947.27"/>
  </r>
  <r>
    <d v="2024-03-25T00:00:00"/>
    <x v="3"/>
    <x v="2"/>
    <x v="4"/>
    <x v="4"/>
    <x v="1"/>
    <x v="7"/>
    <s v="Ring Binder"/>
    <n v="55676"/>
    <n v="7"/>
    <n v="5746.92"/>
  </r>
  <r>
    <d v="2024-03-31T00:00:00"/>
    <x v="3"/>
    <x v="2"/>
    <x v="1"/>
    <x v="3"/>
    <x v="2"/>
    <x v="9"/>
    <s v="King Size Bed"/>
    <n v="39162"/>
    <n v="1"/>
    <n v="5596.53"/>
  </r>
  <r>
    <d v="2024-04-03T00:00:00"/>
    <x v="3"/>
    <x v="3"/>
    <x v="2"/>
    <x v="3"/>
    <x v="1"/>
    <x v="2"/>
    <s v="Plastic Box"/>
    <n v="36527"/>
    <n v="1"/>
    <n v="4290.46"/>
  </r>
  <r>
    <d v="2024-04-09T00:00:00"/>
    <x v="3"/>
    <x v="3"/>
    <x v="6"/>
    <x v="0"/>
    <x v="1"/>
    <x v="6"/>
    <s v="A4 Paper Pack"/>
    <n v="9579"/>
    <n v="4"/>
    <n v="1141.55"/>
  </r>
  <r>
    <d v="2024-04-10T00:00:00"/>
    <x v="3"/>
    <x v="3"/>
    <x v="4"/>
    <x v="5"/>
    <x v="1"/>
    <x v="5"/>
    <s v="Ball Pens Set"/>
    <n v="26375"/>
    <n v="6"/>
    <n v="2186.44"/>
  </r>
  <r>
    <d v="2024-04-10T00:00:00"/>
    <x v="3"/>
    <x v="3"/>
    <x v="6"/>
    <x v="3"/>
    <x v="0"/>
    <x v="0"/>
    <s v="iPhone"/>
    <n v="20363"/>
    <n v="1"/>
    <n v="2841.38"/>
  </r>
  <r>
    <d v="2024-04-10T00:00:00"/>
    <x v="3"/>
    <x v="3"/>
    <x v="2"/>
    <x v="0"/>
    <x v="1"/>
    <x v="6"/>
    <s v="A4 Paper Pack"/>
    <n v="31686"/>
    <n v="3"/>
    <n v="4075.92"/>
  </r>
  <r>
    <d v="2024-04-12T00:00:00"/>
    <x v="3"/>
    <x v="3"/>
    <x v="3"/>
    <x v="5"/>
    <x v="0"/>
    <x v="12"/>
    <s v="Keyboard"/>
    <n v="6905"/>
    <n v="1"/>
    <n v="875.05"/>
  </r>
  <r>
    <d v="2024-04-14T00:00:00"/>
    <x v="3"/>
    <x v="3"/>
    <x v="0"/>
    <x v="1"/>
    <x v="0"/>
    <x v="1"/>
    <s v="HP Printer"/>
    <n v="19470"/>
    <n v="8"/>
    <n v="3459.47"/>
  </r>
  <r>
    <d v="2024-04-15T00:00:00"/>
    <x v="3"/>
    <x v="3"/>
    <x v="4"/>
    <x v="5"/>
    <x v="2"/>
    <x v="13"/>
    <s v="Office Chair"/>
    <n v="14352"/>
    <n v="4"/>
    <n v="1424.92"/>
  </r>
  <r>
    <d v="2024-04-19T00:00:00"/>
    <x v="3"/>
    <x v="3"/>
    <x v="2"/>
    <x v="3"/>
    <x v="2"/>
    <x v="4"/>
    <s v="Study Table"/>
    <n v="45363"/>
    <n v="6"/>
    <n v="8127.11"/>
  </r>
  <r>
    <d v="2024-04-22T00:00:00"/>
    <x v="3"/>
    <x v="3"/>
    <x v="5"/>
    <x v="4"/>
    <x v="2"/>
    <x v="11"/>
    <s v="Leather Sofa"/>
    <n v="50020"/>
    <n v="9"/>
    <n v="6978.72"/>
  </r>
  <r>
    <d v="2024-04-22T00:00:00"/>
    <x v="3"/>
    <x v="3"/>
    <x v="1"/>
    <x v="5"/>
    <x v="1"/>
    <x v="5"/>
    <s v="Ball Pens Set"/>
    <n v="15110"/>
    <n v="9"/>
    <n v="893.72"/>
  </r>
  <r>
    <d v="2024-04-26T00:00:00"/>
    <x v="3"/>
    <x v="3"/>
    <x v="6"/>
    <x v="0"/>
    <x v="1"/>
    <x v="5"/>
    <s v="Ball Pens Set"/>
    <n v="3881"/>
    <n v="6"/>
    <n v="489.4"/>
  </r>
  <r>
    <d v="2024-04-27T00:00:00"/>
    <x v="3"/>
    <x v="3"/>
    <x v="2"/>
    <x v="3"/>
    <x v="1"/>
    <x v="7"/>
    <s v="Ring Binder"/>
    <n v="38253"/>
    <n v="3"/>
    <n v="2894.99"/>
  </r>
  <r>
    <d v="2024-04-27T00:00:00"/>
    <x v="3"/>
    <x v="3"/>
    <x v="8"/>
    <x v="1"/>
    <x v="2"/>
    <x v="9"/>
    <s v="King Size Bed"/>
    <n v="35958"/>
    <n v="3"/>
    <n v="5474.85"/>
  </r>
  <r>
    <d v="2024-04-30T00:00:00"/>
    <x v="3"/>
    <x v="3"/>
    <x v="9"/>
    <x v="1"/>
    <x v="0"/>
    <x v="0"/>
    <s v="Samsung Galaxy"/>
    <n v="15023"/>
    <n v="9"/>
    <n v="2283.46"/>
  </r>
  <r>
    <d v="2024-05-01T00:00:00"/>
    <x v="3"/>
    <x v="4"/>
    <x v="9"/>
    <x v="4"/>
    <x v="2"/>
    <x v="13"/>
    <s v="Office Chair"/>
    <n v="2400"/>
    <n v="8"/>
    <n v="335.2"/>
  </r>
  <r>
    <d v="2024-05-03T00:00:00"/>
    <x v="3"/>
    <x v="4"/>
    <x v="1"/>
    <x v="3"/>
    <x v="1"/>
    <x v="2"/>
    <s v="Plastic Box"/>
    <n v="46654"/>
    <n v="2"/>
    <n v="4499.1899999999996"/>
  </r>
  <r>
    <d v="2024-05-05T00:00:00"/>
    <x v="3"/>
    <x v="4"/>
    <x v="8"/>
    <x v="1"/>
    <x v="2"/>
    <x v="11"/>
    <s v="Leather Sofa"/>
    <n v="30874"/>
    <n v="9"/>
    <n v="2708.02"/>
  </r>
  <r>
    <d v="2024-05-07T00:00:00"/>
    <x v="3"/>
    <x v="4"/>
    <x v="9"/>
    <x v="2"/>
    <x v="2"/>
    <x v="3"/>
    <s v="Wooden Bookcase"/>
    <n v="39393"/>
    <n v="6"/>
    <n v="7073.32"/>
  </r>
  <r>
    <d v="2024-05-07T00:00:00"/>
    <x v="3"/>
    <x v="4"/>
    <x v="5"/>
    <x v="2"/>
    <x v="0"/>
    <x v="12"/>
    <s v="Keyboard"/>
    <n v="25669"/>
    <n v="10"/>
    <n v="2794.88"/>
  </r>
  <r>
    <d v="2024-05-08T00:00:00"/>
    <x v="3"/>
    <x v="4"/>
    <x v="2"/>
    <x v="4"/>
    <x v="1"/>
    <x v="5"/>
    <s v="Ball Pens Set"/>
    <n v="24888"/>
    <n v="3"/>
    <n v="1850.1"/>
  </r>
  <r>
    <d v="2024-05-08T00:00:00"/>
    <x v="3"/>
    <x v="4"/>
    <x v="9"/>
    <x v="1"/>
    <x v="2"/>
    <x v="3"/>
    <s v="Wooden Bookcase"/>
    <n v="58024"/>
    <n v="8"/>
    <n v="5388.24"/>
  </r>
  <r>
    <d v="2024-05-18T00:00:00"/>
    <x v="3"/>
    <x v="4"/>
    <x v="9"/>
    <x v="1"/>
    <x v="0"/>
    <x v="8"/>
    <s v="Dell Inspiron"/>
    <n v="33565"/>
    <n v="7"/>
    <n v="4196.0200000000004"/>
  </r>
  <r>
    <d v="2024-05-23T00:00:00"/>
    <x v="3"/>
    <x v="4"/>
    <x v="0"/>
    <x v="2"/>
    <x v="0"/>
    <x v="8"/>
    <s v="Dell Inspiron"/>
    <n v="9270"/>
    <n v="5"/>
    <n v="536.05999999999995"/>
  </r>
  <r>
    <d v="2024-05-24T00:00:00"/>
    <x v="3"/>
    <x v="4"/>
    <x v="3"/>
    <x v="0"/>
    <x v="0"/>
    <x v="12"/>
    <s v="Wireless Mouse"/>
    <n v="10255"/>
    <n v="8"/>
    <n v="1972.28"/>
  </r>
  <r>
    <d v="2024-05-25T00:00:00"/>
    <x v="3"/>
    <x v="4"/>
    <x v="4"/>
    <x v="2"/>
    <x v="0"/>
    <x v="1"/>
    <s v="HP Printer"/>
    <n v="39996"/>
    <n v="2"/>
    <n v="6666.08"/>
  </r>
  <r>
    <d v="2024-06-01T00:00:00"/>
    <x v="3"/>
    <x v="5"/>
    <x v="7"/>
    <x v="4"/>
    <x v="1"/>
    <x v="5"/>
    <s v="Ball Pens Set"/>
    <n v="41813"/>
    <n v="3"/>
    <n v="5440.75"/>
  </r>
  <r>
    <d v="2024-06-01T00:00:00"/>
    <x v="3"/>
    <x v="5"/>
    <x v="6"/>
    <x v="3"/>
    <x v="2"/>
    <x v="11"/>
    <s v="Leather Sofa"/>
    <n v="43311"/>
    <n v="5"/>
    <n v="2353.65"/>
  </r>
  <r>
    <d v="2024-06-02T00:00:00"/>
    <x v="3"/>
    <x v="5"/>
    <x v="7"/>
    <x v="3"/>
    <x v="0"/>
    <x v="12"/>
    <s v="Wireless Mouse"/>
    <n v="48702"/>
    <n v="2"/>
    <n v="9357.5300000000007"/>
  </r>
  <r>
    <d v="2024-06-05T00:00:00"/>
    <x v="3"/>
    <x v="5"/>
    <x v="8"/>
    <x v="2"/>
    <x v="1"/>
    <x v="6"/>
    <s v="A4 Paper Pack"/>
    <n v="56308"/>
    <n v="7"/>
    <n v="9800.32"/>
  </r>
  <r>
    <d v="2024-06-07T00:00:00"/>
    <x v="3"/>
    <x v="5"/>
    <x v="4"/>
    <x v="1"/>
    <x v="0"/>
    <x v="10"/>
    <s v="LG Monitor"/>
    <n v="18915"/>
    <n v="8"/>
    <n v="1513.71"/>
  </r>
  <r>
    <d v="2024-06-07T00:00:00"/>
    <x v="3"/>
    <x v="5"/>
    <x v="1"/>
    <x v="3"/>
    <x v="0"/>
    <x v="10"/>
    <s v="LG Monitor"/>
    <n v="58149"/>
    <n v="2"/>
    <n v="3480.93"/>
  </r>
  <r>
    <d v="2024-06-08T00:00:00"/>
    <x v="3"/>
    <x v="5"/>
    <x v="8"/>
    <x v="0"/>
    <x v="1"/>
    <x v="5"/>
    <s v="Ball Pens Set"/>
    <n v="53612"/>
    <n v="9"/>
    <n v="6112.36"/>
  </r>
  <r>
    <d v="2024-06-14T00:00:00"/>
    <x v="3"/>
    <x v="5"/>
    <x v="7"/>
    <x v="4"/>
    <x v="2"/>
    <x v="11"/>
    <s v="Leather Sofa"/>
    <n v="544"/>
    <n v="2"/>
    <n v="28.75"/>
  </r>
  <r>
    <d v="2024-06-18T00:00:00"/>
    <x v="3"/>
    <x v="5"/>
    <x v="6"/>
    <x v="4"/>
    <x v="1"/>
    <x v="2"/>
    <s v="Plastic Box"/>
    <n v="4684"/>
    <n v="4"/>
    <n v="677.65"/>
  </r>
  <r>
    <d v="2024-06-19T00:00:00"/>
    <x v="3"/>
    <x v="5"/>
    <x v="8"/>
    <x v="2"/>
    <x v="1"/>
    <x v="6"/>
    <s v="A4 Paper Pack"/>
    <n v="42076"/>
    <n v="1"/>
    <n v="5247.12"/>
  </r>
  <r>
    <d v="2024-07-08T00:00:00"/>
    <x v="3"/>
    <x v="6"/>
    <x v="0"/>
    <x v="0"/>
    <x v="1"/>
    <x v="2"/>
    <s v="Plastic Box"/>
    <n v="20918"/>
    <n v="3"/>
    <n v="2425.7399999999998"/>
  </r>
  <r>
    <d v="2024-07-09T00:00:00"/>
    <x v="3"/>
    <x v="6"/>
    <x v="5"/>
    <x v="0"/>
    <x v="2"/>
    <x v="9"/>
    <s v="King Size Bed"/>
    <n v="27346"/>
    <n v="7"/>
    <n v="3221.32"/>
  </r>
  <r>
    <d v="2024-07-15T00:00:00"/>
    <x v="3"/>
    <x v="6"/>
    <x v="1"/>
    <x v="3"/>
    <x v="0"/>
    <x v="8"/>
    <s v="Dell Inspiron"/>
    <n v="52770"/>
    <n v="9"/>
    <n v="8930.11"/>
  </r>
  <r>
    <d v="2024-07-21T00:00:00"/>
    <x v="3"/>
    <x v="6"/>
    <x v="4"/>
    <x v="3"/>
    <x v="1"/>
    <x v="2"/>
    <s v="Plastic Box"/>
    <n v="20046"/>
    <n v="4"/>
    <n v="1762.09"/>
  </r>
  <r>
    <d v="2024-07-24T00:00:00"/>
    <x v="3"/>
    <x v="6"/>
    <x v="6"/>
    <x v="5"/>
    <x v="2"/>
    <x v="3"/>
    <s v="Wooden Bookcase"/>
    <n v="36299"/>
    <n v="5"/>
    <n v="2496.48"/>
  </r>
  <r>
    <d v="2024-07-30T00:00:00"/>
    <x v="3"/>
    <x v="6"/>
    <x v="3"/>
    <x v="3"/>
    <x v="2"/>
    <x v="9"/>
    <s v="King Size Bed"/>
    <n v="15459"/>
    <n v="1"/>
    <n v="1005.29"/>
  </r>
  <r>
    <d v="2024-07-31T00:00:00"/>
    <x v="3"/>
    <x v="6"/>
    <x v="0"/>
    <x v="1"/>
    <x v="1"/>
    <x v="5"/>
    <s v="Ball Pens Set"/>
    <n v="24544"/>
    <n v="2"/>
    <n v="3711.68"/>
  </r>
  <r>
    <d v="2024-08-03T00:00:00"/>
    <x v="3"/>
    <x v="7"/>
    <x v="3"/>
    <x v="1"/>
    <x v="0"/>
    <x v="10"/>
    <s v="LG Monitor"/>
    <n v="45299"/>
    <n v="9"/>
    <n v="3757.2"/>
  </r>
  <r>
    <d v="2024-08-04T00:00:00"/>
    <x v="3"/>
    <x v="7"/>
    <x v="2"/>
    <x v="4"/>
    <x v="0"/>
    <x v="8"/>
    <s v="Dell Inspiron"/>
    <n v="43277"/>
    <n v="7"/>
    <n v="4731.79"/>
  </r>
  <r>
    <d v="2024-08-04T00:00:00"/>
    <x v="3"/>
    <x v="7"/>
    <x v="6"/>
    <x v="1"/>
    <x v="0"/>
    <x v="10"/>
    <s v="LG Monitor"/>
    <n v="35364"/>
    <n v="9"/>
    <n v="5036.08"/>
  </r>
  <r>
    <d v="2024-08-05T00:00:00"/>
    <x v="3"/>
    <x v="7"/>
    <x v="4"/>
    <x v="0"/>
    <x v="1"/>
    <x v="7"/>
    <s v="Ring Binder"/>
    <n v="22493"/>
    <n v="2"/>
    <n v="2114.9"/>
  </r>
  <r>
    <d v="2024-08-09T00:00:00"/>
    <x v="3"/>
    <x v="7"/>
    <x v="4"/>
    <x v="1"/>
    <x v="1"/>
    <x v="7"/>
    <s v="Ring Binder"/>
    <n v="28289"/>
    <n v="3"/>
    <n v="5092.8"/>
  </r>
  <r>
    <d v="2024-08-09T00:00:00"/>
    <x v="3"/>
    <x v="7"/>
    <x v="0"/>
    <x v="3"/>
    <x v="2"/>
    <x v="3"/>
    <s v="Wooden Bookcase"/>
    <n v="11674"/>
    <n v="8"/>
    <n v="2301.21"/>
  </r>
  <r>
    <d v="2024-08-10T00:00:00"/>
    <x v="3"/>
    <x v="7"/>
    <x v="1"/>
    <x v="0"/>
    <x v="1"/>
    <x v="5"/>
    <s v="Ball Pens Set"/>
    <n v="2241"/>
    <n v="1"/>
    <n v="447.72"/>
  </r>
  <r>
    <d v="2024-08-15T00:00:00"/>
    <x v="3"/>
    <x v="7"/>
    <x v="9"/>
    <x v="1"/>
    <x v="1"/>
    <x v="6"/>
    <s v="A4 Paper Pack"/>
    <n v="46851"/>
    <n v="8"/>
    <n v="5492.16"/>
  </r>
  <r>
    <d v="2024-08-16T00:00:00"/>
    <x v="3"/>
    <x v="7"/>
    <x v="9"/>
    <x v="2"/>
    <x v="0"/>
    <x v="8"/>
    <s v="Dell Inspiron"/>
    <n v="44139"/>
    <n v="7"/>
    <n v="5573.58"/>
  </r>
  <r>
    <d v="2024-08-18T00:00:00"/>
    <x v="3"/>
    <x v="7"/>
    <x v="1"/>
    <x v="2"/>
    <x v="2"/>
    <x v="3"/>
    <s v="Wooden Bookcase"/>
    <n v="40352"/>
    <n v="1"/>
    <n v="5426.66"/>
  </r>
  <r>
    <d v="2024-08-19T00:00:00"/>
    <x v="3"/>
    <x v="7"/>
    <x v="5"/>
    <x v="1"/>
    <x v="2"/>
    <x v="9"/>
    <s v="King Size Bed"/>
    <n v="9964"/>
    <n v="5"/>
    <n v="1733.68"/>
  </r>
  <r>
    <d v="2024-08-19T00:00:00"/>
    <x v="3"/>
    <x v="7"/>
    <x v="6"/>
    <x v="3"/>
    <x v="1"/>
    <x v="5"/>
    <s v="Ball Pens Set"/>
    <n v="4342"/>
    <n v="8"/>
    <n v="809.38"/>
  </r>
  <r>
    <d v="2024-08-20T00:00:00"/>
    <x v="3"/>
    <x v="7"/>
    <x v="3"/>
    <x v="2"/>
    <x v="0"/>
    <x v="8"/>
    <s v="HP Pavilion"/>
    <n v="17060"/>
    <n v="3"/>
    <n v="889.04"/>
  </r>
  <r>
    <d v="2024-08-21T00:00:00"/>
    <x v="3"/>
    <x v="7"/>
    <x v="9"/>
    <x v="4"/>
    <x v="0"/>
    <x v="10"/>
    <s v="LG Monitor"/>
    <n v="58273"/>
    <n v="3"/>
    <n v="3901.87"/>
  </r>
  <r>
    <d v="2024-08-23T00:00:00"/>
    <x v="3"/>
    <x v="7"/>
    <x v="0"/>
    <x v="5"/>
    <x v="2"/>
    <x v="9"/>
    <s v="King Size Bed"/>
    <n v="46162"/>
    <n v="9"/>
    <n v="5212.9799999999996"/>
  </r>
  <r>
    <d v="2024-08-31T00:00:00"/>
    <x v="3"/>
    <x v="7"/>
    <x v="5"/>
    <x v="0"/>
    <x v="1"/>
    <x v="7"/>
    <s v="Ring Binder"/>
    <n v="23763"/>
    <n v="4"/>
    <n v="1409.59"/>
  </r>
  <r>
    <d v="2024-09-02T00:00:00"/>
    <x v="3"/>
    <x v="8"/>
    <x v="6"/>
    <x v="2"/>
    <x v="1"/>
    <x v="6"/>
    <s v="A4 Paper Pack"/>
    <n v="10316"/>
    <n v="2"/>
    <n v="1242.29"/>
  </r>
  <r>
    <d v="2024-09-02T00:00:00"/>
    <x v="3"/>
    <x v="8"/>
    <x v="3"/>
    <x v="1"/>
    <x v="1"/>
    <x v="5"/>
    <s v="Ball Pens Set"/>
    <n v="44205"/>
    <n v="8"/>
    <n v="8511.82"/>
  </r>
  <r>
    <d v="2024-09-03T00:00:00"/>
    <x v="3"/>
    <x v="8"/>
    <x v="6"/>
    <x v="1"/>
    <x v="1"/>
    <x v="6"/>
    <s v="A4 Paper Pack"/>
    <n v="6689"/>
    <n v="8"/>
    <n v="952.16"/>
  </r>
  <r>
    <d v="2024-09-04T00:00:00"/>
    <x v="3"/>
    <x v="8"/>
    <x v="0"/>
    <x v="0"/>
    <x v="2"/>
    <x v="4"/>
    <s v="Study Table"/>
    <n v="5138"/>
    <n v="3"/>
    <n v="990.06"/>
  </r>
  <r>
    <d v="2024-09-05T00:00:00"/>
    <x v="3"/>
    <x v="8"/>
    <x v="8"/>
    <x v="4"/>
    <x v="0"/>
    <x v="1"/>
    <s v="HP Printer"/>
    <n v="46802"/>
    <n v="5"/>
    <n v="3662.44"/>
  </r>
  <r>
    <d v="2024-09-11T00:00:00"/>
    <x v="3"/>
    <x v="8"/>
    <x v="6"/>
    <x v="5"/>
    <x v="0"/>
    <x v="0"/>
    <s v="Samsung Galaxy"/>
    <n v="14732"/>
    <n v="1"/>
    <n v="1490.93"/>
  </r>
  <r>
    <d v="2024-09-12T00:00:00"/>
    <x v="3"/>
    <x v="8"/>
    <x v="8"/>
    <x v="0"/>
    <x v="2"/>
    <x v="9"/>
    <s v="King Size Bed"/>
    <n v="32172"/>
    <n v="1"/>
    <n v="1640.51"/>
  </r>
  <r>
    <d v="2024-09-14T00:00:00"/>
    <x v="3"/>
    <x v="8"/>
    <x v="0"/>
    <x v="2"/>
    <x v="2"/>
    <x v="9"/>
    <s v="King Size Bed"/>
    <n v="21144"/>
    <n v="3"/>
    <n v="3344.82"/>
  </r>
  <r>
    <d v="2024-09-17T00:00:00"/>
    <x v="3"/>
    <x v="8"/>
    <x v="5"/>
    <x v="0"/>
    <x v="1"/>
    <x v="7"/>
    <s v="Ring Binder"/>
    <n v="7285"/>
    <n v="1"/>
    <n v="416.96"/>
  </r>
  <r>
    <d v="2024-09-18T00:00:00"/>
    <x v="3"/>
    <x v="8"/>
    <x v="3"/>
    <x v="0"/>
    <x v="1"/>
    <x v="7"/>
    <s v="Ring Binder"/>
    <n v="8766"/>
    <n v="4"/>
    <n v="821.82"/>
  </r>
  <r>
    <d v="2024-09-20T00:00:00"/>
    <x v="3"/>
    <x v="8"/>
    <x v="5"/>
    <x v="3"/>
    <x v="1"/>
    <x v="7"/>
    <s v="Ring Binder"/>
    <n v="6988"/>
    <n v="3"/>
    <n v="626.61"/>
  </r>
  <r>
    <d v="2024-09-23T00:00:00"/>
    <x v="3"/>
    <x v="8"/>
    <x v="6"/>
    <x v="0"/>
    <x v="2"/>
    <x v="4"/>
    <s v="Dining Table"/>
    <n v="25047"/>
    <n v="3"/>
    <n v="3564.87"/>
  </r>
  <r>
    <d v="2024-09-25T00:00:00"/>
    <x v="3"/>
    <x v="8"/>
    <x v="6"/>
    <x v="4"/>
    <x v="1"/>
    <x v="5"/>
    <s v="Ball Pens Set"/>
    <n v="38797"/>
    <n v="3"/>
    <n v="4141.88"/>
  </r>
  <r>
    <d v="2024-09-26T00:00:00"/>
    <x v="3"/>
    <x v="8"/>
    <x v="4"/>
    <x v="3"/>
    <x v="1"/>
    <x v="7"/>
    <s v="Ring Binder"/>
    <n v="48807"/>
    <n v="3"/>
    <n v="3314.8"/>
  </r>
  <r>
    <d v="2024-09-27T00:00:00"/>
    <x v="3"/>
    <x v="8"/>
    <x v="6"/>
    <x v="5"/>
    <x v="0"/>
    <x v="12"/>
    <s v="Keyboard"/>
    <n v="26964"/>
    <n v="6"/>
    <n v="2975.75"/>
  </r>
  <r>
    <d v="2024-10-03T00:00:00"/>
    <x v="3"/>
    <x v="9"/>
    <x v="5"/>
    <x v="0"/>
    <x v="1"/>
    <x v="5"/>
    <s v="Ball Pens Set"/>
    <n v="56827"/>
    <n v="4"/>
    <n v="5115.62"/>
  </r>
  <r>
    <d v="2024-10-03T00:00:00"/>
    <x v="3"/>
    <x v="9"/>
    <x v="0"/>
    <x v="3"/>
    <x v="2"/>
    <x v="4"/>
    <s v="Dining Table"/>
    <n v="7696"/>
    <n v="10"/>
    <n v="1478.89"/>
  </r>
  <r>
    <d v="2024-10-04T00:00:00"/>
    <x v="3"/>
    <x v="9"/>
    <x v="1"/>
    <x v="3"/>
    <x v="1"/>
    <x v="7"/>
    <s v="Ring Binder"/>
    <n v="8210"/>
    <n v="7"/>
    <n v="845.96"/>
  </r>
  <r>
    <d v="2024-10-06T00:00:00"/>
    <x v="3"/>
    <x v="9"/>
    <x v="4"/>
    <x v="1"/>
    <x v="1"/>
    <x v="7"/>
    <s v="Ring Binder"/>
    <n v="41980"/>
    <n v="7"/>
    <n v="4386.7700000000004"/>
  </r>
  <r>
    <d v="2024-10-07T00:00:00"/>
    <x v="3"/>
    <x v="9"/>
    <x v="4"/>
    <x v="3"/>
    <x v="0"/>
    <x v="8"/>
    <s v="HP Pavilion"/>
    <n v="23694"/>
    <n v="9"/>
    <n v="2251.62"/>
  </r>
  <r>
    <d v="2024-10-07T00:00:00"/>
    <x v="3"/>
    <x v="9"/>
    <x v="0"/>
    <x v="4"/>
    <x v="2"/>
    <x v="13"/>
    <s v="Office Chair"/>
    <n v="6032"/>
    <n v="2"/>
    <n v="1057.32"/>
  </r>
  <r>
    <d v="2024-10-11T00:00:00"/>
    <x v="3"/>
    <x v="9"/>
    <x v="2"/>
    <x v="1"/>
    <x v="0"/>
    <x v="10"/>
    <s v="LG Monitor"/>
    <n v="46467"/>
    <n v="5"/>
    <n v="8726.61"/>
  </r>
  <r>
    <d v="2024-10-17T00:00:00"/>
    <x v="3"/>
    <x v="9"/>
    <x v="3"/>
    <x v="2"/>
    <x v="1"/>
    <x v="6"/>
    <s v="A4 Paper Pack"/>
    <n v="470"/>
    <n v="4"/>
    <n v="39.450000000000003"/>
  </r>
  <r>
    <d v="2024-10-18T00:00:00"/>
    <x v="3"/>
    <x v="9"/>
    <x v="4"/>
    <x v="1"/>
    <x v="0"/>
    <x v="12"/>
    <s v="Wireless Mouse"/>
    <n v="19784"/>
    <n v="5"/>
    <n v="3422.9"/>
  </r>
  <r>
    <d v="2024-10-24T00:00:00"/>
    <x v="3"/>
    <x v="9"/>
    <x v="8"/>
    <x v="3"/>
    <x v="2"/>
    <x v="11"/>
    <s v="Leather Sofa"/>
    <n v="34105"/>
    <n v="6"/>
    <n v="2361.7800000000002"/>
  </r>
  <r>
    <d v="2024-11-02T00:00:00"/>
    <x v="3"/>
    <x v="10"/>
    <x v="6"/>
    <x v="3"/>
    <x v="1"/>
    <x v="5"/>
    <s v="Ball Pens Set"/>
    <n v="7284"/>
    <n v="8"/>
    <n v="433.95"/>
  </r>
  <r>
    <d v="2024-11-03T00:00:00"/>
    <x v="3"/>
    <x v="10"/>
    <x v="0"/>
    <x v="0"/>
    <x v="1"/>
    <x v="2"/>
    <s v="Plastic Box"/>
    <n v="32425"/>
    <n v="7"/>
    <n v="5075.2"/>
  </r>
  <r>
    <d v="2024-11-06T00:00:00"/>
    <x v="3"/>
    <x v="10"/>
    <x v="6"/>
    <x v="2"/>
    <x v="0"/>
    <x v="8"/>
    <s v="HP Pavilion"/>
    <n v="33133"/>
    <n v="5"/>
    <n v="5087.3599999999997"/>
  </r>
  <r>
    <d v="2024-11-14T00:00:00"/>
    <x v="3"/>
    <x v="10"/>
    <x v="7"/>
    <x v="0"/>
    <x v="1"/>
    <x v="5"/>
    <s v="Ball Pens Set"/>
    <n v="16590"/>
    <n v="8"/>
    <n v="2933.04"/>
  </r>
  <r>
    <d v="2024-11-15T00:00:00"/>
    <x v="3"/>
    <x v="10"/>
    <x v="2"/>
    <x v="0"/>
    <x v="0"/>
    <x v="8"/>
    <s v="HP Pavilion"/>
    <n v="13562"/>
    <n v="7"/>
    <n v="1698.95"/>
  </r>
  <r>
    <d v="2024-11-17T00:00:00"/>
    <x v="3"/>
    <x v="10"/>
    <x v="3"/>
    <x v="0"/>
    <x v="0"/>
    <x v="8"/>
    <s v="HP Pavilion"/>
    <n v="16145"/>
    <n v="5"/>
    <n v="2415.1999999999998"/>
  </r>
  <r>
    <d v="2024-11-27T00:00:00"/>
    <x v="3"/>
    <x v="10"/>
    <x v="4"/>
    <x v="3"/>
    <x v="0"/>
    <x v="12"/>
    <s v="Wireless Mouse"/>
    <n v="25364"/>
    <n v="8"/>
    <n v="2788.72"/>
  </r>
  <r>
    <d v="2024-11-28T00:00:00"/>
    <x v="3"/>
    <x v="10"/>
    <x v="2"/>
    <x v="1"/>
    <x v="1"/>
    <x v="6"/>
    <s v="A4 Paper Pack"/>
    <n v="50825"/>
    <n v="5"/>
    <n v="9023.67"/>
  </r>
  <r>
    <d v="2024-11-29T00:00:00"/>
    <x v="3"/>
    <x v="10"/>
    <x v="9"/>
    <x v="5"/>
    <x v="2"/>
    <x v="13"/>
    <s v="Plastic Chair"/>
    <n v="8475"/>
    <n v="8"/>
    <n v="554.16"/>
  </r>
  <r>
    <d v="2024-11-29T00:00:00"/>
    <x v="3"/>
    <x v="10"/>
    <x v="3"/>
    <x v="5"/>
    <x v="2"/>
    <x v="9"/>
    <s v="King Size Bed"/>
    <n v="23713"/>
    <n v="10"/>
    <n v="1285.98"/>
  </r>
  <r>
    <d v="2024-11-30T00:00:00"/>
    <x v="3"/>
    <x v="10"/>
    <x v="7"/>
    <x v="2"/>
    <x v="0"/>
    <x v="0"/>
    <s v="Samsung Galaxy"/>
    <n v="27896"/>
    <n v="6"/>
    <n v="2557.52"/>
  </r>
  <r>
    <d v="2024-12-05T00:00:00"/>
    <x v="3"/>
    <x v="11"/>
    <x v="1"/>
    <x v="1"/>
    <x v="1"/>
    <x v="2"/>
    <s v="Plastic Box"/>
    <n v="41032"/>
    <n v="10"/>
    <n v="5267.86"/>
  </r>
  <r>
    <d v="2024-12-13T00:00:00"/>
    <x v="3"/>
    <x v="11"/>
    <x v="4"/>
    <x v="5"/>
    <x v="2"/>
    <x v="3"/>
    <s v="Wooden Bookcase"/>
    <n v="2231"/>
    <n v="7"/>
    <n v="426.94"/>
  </r>
  <r>
    <d v="2024-12-14T00:00:00"/>
    <x v="3"/>
    <x v="11"/>
    <x v="0"/>
    <x v="5"/>
    <x v="0"/>
    <x v="0"/>
    <s v="iPhone"/>
    <n v="13248"/>
    <n v="5"/>
    <n v="1394.39"/>
  </r>
  <r>
    <d v="2024-12-15T00:00:00"/>
    <x v="3"/>
    <x v="11"/>
    <x v="4"/>
    <x v="0"/>
    <x v="2"/>
    <x v="3"/>
    <s v="Wooden Bookcase"/>
    <n v="53376"/>
    <n v="7"/>
    <n v="5759.9"/>
  </r>
  <r>
    <d v="2024-12-19T00:00:00"/>
    <x v="3"/>
    <x v="11"/>
    <x v="0"/>
    <x v="2"/>
    <x v="1"/>
    <x v="6"/>
    <s v="A4 Paper Pack"/>
    <n v="10097"/>
    <n v="1"/>
    <n v="836.11"/>
  </r>
  <r>
    <d v="2024-12-20T00:00:00"/>
    <x v="3"/>
    <x v="11"/>
    <x v="9"/>
    <x v="2"/>
    <x v="2"/>
    <x v="13"/>
    <s v="Office Chair"/>
    <n v="41559"/>
    <n v="1"/>
    <n v="3505.14"/>
  </r>
  <r>
    <d v="2024-12-22T00:00:00"/>
    <x v="3"/>
    <x v="11"/>
    <x v="9"/>
    <x v="2"/>
    <x v="0"/>
    <x v="12"/>
    <s v="Keyboard"/>
    <n v="37091"/>
    <n v="5"/>
    <n v="4496.6899999999996"/>
  </r>
  <r>
    <d v="2024-12-27T00:00:00"/>
    <x v="3"/>
    <x v="11"/>
    <x v="1"/>
    <x v="0"/>
    <x v="2"/>
    <x v="4"/>
    <s v="Study Table"/>
    <n v="21308"/>
    <n v="4"/>
    <n v="3499.22"/>
  </r>
  <r>
    <d v="2024-12-29T00:00:00"/>
    <x v="3"/>
    <x v="11"/>
    <x v="5"/>
    <x v="2"/>
    <x v="1"/>
    <x v="7"/>
    <s v="Ring Binder"/>
    <n v="59818"/>
    <n v="8"/>
    <n v="3650.31"/>
  </r>
  <r>
    <d v="2024-12-29T00:00:00"/>
    <x v="3"/>
    <x v="11"/>
    <x v="8"/>
    <x v="2"/>
    <x v="1"/>
    <x v="7"/>
    <s v="Ring Binder"/>
    <n v="37991"/>
    <n v="2"/>
    <n v="4726.9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s v="Pooja More"/>
  </r>
  <r>
    <x v="0"/>
    <s v="Karan Desai"/>
  </r>
  <r>
    <x v="0"/>
    <s v="Anjali Gupta"/>
  </r>
  <r>
    <x v="0"/>
    <s v="Neha Kulkarni"/>
  </r>
  <r>
    <x v="0"/>
    <s v="Rahul Verma"/>
  </r>
  <r>
    <x v="0"/>
    <s v="Priya Patil"/>
  </r>
  <r>
    <x v="0"/>
    <s v="Vikram Singh"/>
  </r>
  <r>
    <x v="0"/>
    <s v="Sneha Joshi"/>
  </r>
  <r>
    <x v="0"/>
    <s v="Rohan Yadav"/>
  </r>
  <r>
    <x v="0"/>
    <s v="Amit Sharma"/>
  </r>
  <r>
    <x v="1"/>
    <s v="Rahul Verma"/>
  </r>
  <r>
    <x v="1"/>
    <s v="Sneha Joshi"/>
  </r>
  <r>
    <x v="1"/>
    <s v="Pooja More"/>
  </r>
  <r>
    <x v="1"/>
    <s v="Rohan Yadav"/>
  </r>
  <r>
    <x v="1"/>
    <s v="Karan Desai"/>
  </r>
  <r>
    <x v="1"/>
    <s v="Vikram Singh"/>
  </r>
  <r>
    <x v="1"/>
    <s v="Anjali Gupta"/>
  </r>
  <r>
    <x v="1"/>
    <s v="Amit Sharma"/>
  </r>
  <r>
    <x v="1"/>
    <s v="Neha Kulkarni"/>
  </r>
  <r>
    <x v="1"/>
    <s v="Priya Patil"/>
  </r>
  <r>
    <x v="2"/>
    <s v="Vikram Singh"/>
  </r>
  <r>
    <x v="2"/>
    <s v="Amit Sharma"/>
  </r>
  <r>
    <x v="2"/>
    <s v="Karan Desai"/>
  </r>
  <r>
    <x v="2"/>
    <s v="Priya Patil"/>
  </r>
  <r>
    <x v="2"/>
    <s v="Anjali Gupta"/>
  </r>
  <r>
    <x v="2"/>
    <s v="Sneha Joshi"/>
  </r>
  <r>
    <x v="2"/>
    <s v="Pooja More"/>
  </r>
  <r>
    <x v="2"/>
    <s v="Neha Kulkarni"/>
  </r>
  <r>
    <x v="2"/>
    <s v="Rahul Verma"/>
  </r>
  <r>
    <x v="2"/>
    <s v="Rohan Yadav"/>
  </r>
  <r>
    <x v="3"/>
    <s v="Vikram Singh"/>
  </r>
  <r>
    <x v="3"/>
    <s v="Karan Desai"/>
  </r>
  <r>
    <x v="3"/>
    <s v="Anjali Gupta"/>
  </r>
  <r>
    <x v="3"/>
    <s v="Sneha Joshi"/>
  </r>
  <r>
    <x v="3"/>
    <s v="Pooja More"/>
  </r>
  <r>
    <x v="3"/>
    <s v="Rahul Verma"/>
  </r>
  <r>
    <x v="3"/>
    <s v="Neha Kulkarni"/>
  </r>
  <r>
    <x v="3"/>
    <s v="Priya Patil"/>
  </r>
  <r>
    <x v="3"/>
    <s v="Rohan Yadav"/>
  </r>
  <r>
    <x v="3"/>
    <s v="Amit Sharm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294096-3107-4D38-83C7-1AE84085A265}"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11">
    <pivotField numFmtId="14" showAll="0"/>
    <pivotField numFmtId="1" showAll="0"/>
    <pivotField numFmtId="1" showAll="0"/>
    <pivotField showAll="0"/>
    <pivotField showAll="0"/>
    <pivotField showAll="0"/>
    <pivotField axis="axisRow" showAll="0" sortType="descending">
      <items count="15">
        <item x="12"/>
        <item x="9"/>
        <item x="7"/>
        <item x="3"/>
        <item x="13"/>
        <item x="8"/>
        <item x="10"/>
        <item x="6"/>
        <item x="5"/>
        <item x="0"/>
        <item x="1"/>
        <item x="11"/>
        <item x="2"/>
        <item x="4"/>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 showAll="0"/>
    <pivotField numFmtId="2" showAll="0"/>
  </pivotFields>
  <rowFields count="1">
    <field x="6"/>
  </rowFields>
  <rowItems count="15">
    <i>
      <x v="6"/>
    </i>
    <i>
      <x v="8"/>
    </i>
    <i>
      <x v="7"/>
    </i>
    <i>
      <x v="5"/>
    </i>
    <i>
      <x v="2"/>
    </i>
    <i>
      <x v="12"/>
    </i>
    <i>
      <x v="1"/>
    </i>
    <i>
      <x v="3"/>
    </i>
    <i>
      <x v="11"/>
    </i>
    <i>
      <x/>
    </i>
    <i>
      <x v="9"/>
    </i>
    <i>
      <x v="13"/>
    </i>
    <i>
      <x v="10"/>
    </i>
    <i>
      <x v="4"/>
    </i>
    <i t="grand">
      <x/>
    </i>
  </rowItems>
  <colItems count="1">
    <i/>
  </colItems>
  <dataFields count="1">
    <dataField name="Sum of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9975A9-4F74-4B3A-A89B-2C0299CEA6BB}" name="PivotTable5"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2"/>
        <item x="1"/>
        <item x="0"/>
        <item t="default"/>
      </items>
    </pivotField>
    <pivotField showAll="0"/>
    <pivotField showAll="0"/>
    <pivotField numFmtId="164"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3">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9A9983-F587-4376-B3B0-9AA42093C568}" name="PivotTable6"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15" firstHeaderRow="1" firstDataRow="1" firstDataCol="1"/>
  <pivotFields count="11">
    <pivotField numFmtId="14" showAll="0"/>
    <pivotField numFmtId="1" showAll="0">
      <items count="5">
        <item h="1" x="0"/>
        <item h="1" x="1"/>
        <item h="1"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pivotField showAll="0"/>
    <pivotField showAll="0"/>
    <pivotField dataField="1" numFmtId="164"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164"/>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03200F-4095-4812-85BA-483DE81CFB00}" name="PivotTable7"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3" firstHeaderRow="1" firstDataRow="1" firstDataCol="1"/>
  <pivotFields count="11">
    <pivotField numFmtId="14" showAll="0"/>
    <pivotField numFmtId="1" showAll="0"/>
    <pivotField numFmtId="1" showAll="0"/>
    <pivotField axis="axisRow" showAll="0" sortType="descending">
      <items count="11">
        <item x="9"/>
        <item x="2"/>
        <item x="1"/>
        <item x="3"/>
        <item x="0"/>
        <item x="5"/>
        <item x="4"/>
        <item x="8"/>
        <item x="7"/>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 showAll="0"/>
    <pivotField dataField="1" numFmtId="2" showAll="0"/>
  </pivotFields>
  <rowFields count="1">
    <field x="3"/>
  </rowFields>
  <rowItems count="10">
    <i>
      <x v="9"/>
    </i>
    <i>
      <x v="2"/>
    </i>
    <i>
      <x v="5"/>
    </i>
    <i>
      <x v="6"/>
    </i>
    <i>
      <x v="7"/>
    </i>
    <i>
      <x v="8"/>
    </i>
    <i>
      <x v="1"/>
    </i>
    <i>
      <x/>
    </i>
    <i>
      <x v="3"/>
    </i>
    <i>
      <x v="4"/>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A035E1-816B-41AE-B2EB-8369FA7DD40C}" name="PivotTable8"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9" firstHeaderRow="1" firstDataRow="1" firstDataCol="1"/>
  <pivotFields count="11">
    <pivotField numFmtId="14" showAll="0"/>
    <pivotField numFmtId="1" showAll="0"/>
    <pivotField numFmtId="1" showAll="0"/>
    <pivotField showAll="0"/>
    <pivotField axis="axisRow" showAll="0">
      <items count="7">
        <item x="0"/>
        <item x="2"/>
        <item x="4"/>
        <item x="1"/>
        <item x="5"/>
        <item x="3"/>
        <item t="default"/>
      </items>
    </pivotField>
    <pivotField showAll="0"/>
    <pivotField showAll="0"/>
    <pivotField showAll="0"/>
    <pivotField dataField="1" numFmtId="164" showAll="0"/>
    <pivotField numFmtId="1" showAll="0"/>
    <pivotField numFmtId="2" showAll="0"/>
  </pivotFields>
  <rowFields count="1">
    <field x="4"/>
  </rowFields>
  <rowItems count="6">
    <i>
      <x/>
    </i>
    <i>
      <x v="1"/>
    </i>
    <i>
      <x v="2"/>
    </i>
    <i>
      <x v="3"/>
    </i>
    <i>
      <x v="4"/>
    </i>
    <i>
      <x v="5"/>
    </i>
  </rowItems>
  <colItems count="1">
    <i/>
  </colItems>
  <dataFields count="1">
    <dataField name="Sum of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277BC7-986C-4271-81C0-8B6F6D74EE98}" name="PivotTable9" cacheId="2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D22:E26"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FB7A17B-256D-4F2A-AE88-FF89ACDC5BEB}" sourceName="Year">
  <pivotTables>
    <pivotTable tabId="4" name="PivotTable6"/>
  </pivotTables>
  <data>
    <tabular pivotCacheId="332549230">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B9C2AE2-6415-4D1F-AD83-3F089AEEE51B}"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3EC211-C092-45D7-B86B-DD0C25819AE1}" name="SalesData" displayName="SalesData" ref="A1:K501" totalsRowShown="0">
  <autoFilter ref="A1:K501" xr:uid="{753EC211-C092-45D7-B86B-DD0C25819AE1}"/>
  <sortState xmlns:xlrd2="http://schemas.microsoft.com/office/spreadsheetml/2017/richdata2" ref="A2:K501">
    <sortCondition ref="A2:A501"/>
  </sortState>
  <tableColumns count="11">
    <tableColumn id="1" xr3:uid="{B3039A8A-3970-467C-93F0-7451D6073F95}" name="Order Date" dataDxfId="2"/>
    <tableColumn id="10" xr3:uid="{867B3A58-7604-4B18-A7F2-4709ED8621F9}" name="Year" dataDxfId="1">
      <calculatedColumnFormula>YEAR(A2)</calculatedColumnFormula>
    </tableColumn>
    <tableColumn id="11" xr3:uid="{580A3ABF-D78A-4B18-986E-8D9EEDCDD046}" name="Month" dataDxfId="0">
      <calculatedColumnFormula>MONTH(A2)</calculatedColumnFormula>
    </tableColumn>
    <tableColumn id="2" xr3:uid="{D30AE944-31A6-4EA1-90CB-4F0D24015F3C}" name="Customer Name"/>
    <tableColumn id="3" xr3:uid="{6A93E063-F44D-45B1-B8C2-8CA8CF88D25E}" name="State"/>
    <tableColumn id="4" xr3:uid="{6CD56F44-F7B4-4135-ACF5-ED27251B1834}" name="Category"/>
    <tableColumn id="5" xr3:uid="{C2B50292-1019-4D1E-B7F3-7072CAC9A2E4}" name="Sub-Category"/>
    <tableColumn id="6" xr3:uid="{39CEE982-EF16-4D38-B4B6-4330CBEB6875}" name="Product Name"/>
    <tableColumn id="7" xr3:uid="{16A9A701-7FEF-4C7F-A40D-B3D3254A2675}" name="Sales" dataDxfId="5"/>
    <tableColumn id="8" xr3:uid="{9A5FD403-7293-4660-BA11-9791229C3D71}" name="Quantity" dataDxfId="3"/>
    <tableColumn id="9" xr3:uid="{F77E953D-7026-40A6-BDE3-14E3CB9B2310}" name="Profit"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7C3633-D52C-4230-9877-D25A3A8DDE59}" name="CustomerCount" displayName="CustomerCount" ref="A1:B41" totalsRowShown="0">
  <autoFilter ref="A1:B41" xr:uid="{017C3633-D52C-4230-9877-D25A3A8DDE59}"/>
  <tableColumns count="2">
    <tableColumn id="1" xr3:uid="{CB2E1BC3-073E-476A-8CAA-EF55BB308D8C}" name="Year"/>
    <tableColumn id="2" xr3:uid="{E989B4C7-C6FB-4FFA-9E70-BB0DEDBC2DE5}"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EE233-F3A9-4A53-B31F-05059405CF41}">
  <dimension ref="A3:E18"/>
  <sheetViews>
    <sheetView topLeftCell="A4" workbookViewId="0">
      <selection activeCell="E30" sqref="E30"/>
    </sheetView>
  </sheetViews>
  <sheetFormatPr defaultRowHeight="14.4" x14ac:dyDescent="0.3"/>
  <cols>
    <col min="1" max="1" width="12.5546875" bestFit="1" customWidth="1"/>
    <col min="2" max="2" width="11.6640625" bestFit="1" customWidth="1"/>
    <col min="5" max="5" width="9.5546875" bestFit="1" customWidth="1"/>
  </cols>
  <sheetData>
    <row r="3" spans="1:5" x14ac:dyDescent="0.3">
      <c r="A3" s="5" t="s">
        <v>63</v>
      </c>
      <c r="B3" t="s">
        <v>65</v>
      </c>
    </row>
    <row r="4" spans="1:5" x14ac:dyDescent="0.3">
      <c r="A4" s="6" t="s">
        <v>40</v>
      </c>
      <c r="B4" s="3">
        <v>1447613</v>
      </c>
      <c r="D4" t="str">
        <f>A4</f>
        <v>Monitors</v>
      </c>
      <c r="E4" s="3">
        <f>B4</f>
        <v>1447613</v>
      </c>
    </row>
    <row r="5" spans="1:5" x14ac:dyDescent="0.3">
      <c r="A5" s="6" t="s">
        <v>37</v>
      </c>
      <c r="B5" s="3">
        <v>1435190</v>
      </c>
      <c r="D5" t="str">
        <f t="shared" ref="D5:D17" si="0">A5</f>
        <v>Pens</v>
      </c>
      <c r="E5" s="3">
        <f t="shared" ref="E5:E17" si="1">B5</f>
        <v>1435190</v>
      </c>
    </row>
    <row r="6" spans="1:5" x14ac:dyDescent="0.3">
      <c r="A6" s="6" t="s">
        <v>32</v>
      </c>
      <c r="B6" s="3">
        <v>1254154</v>
      </c>
      <c r="D6" t="str">
        <f t="shared" si="0"/>
        <v>Paper</v>
      </c>
      <c r="E6" s="3">
        <f t="shared" si="1"/>
        <v>1254154</v>
      </c>
    </row>
    <row r="7" spans="1:5" x14ac:dyDescent="0.3">
      <c r="A7" s="6" t="s">
        <v>43</v>
      </c>
      <c r="B7" s="3">
        <v>1227775</v>
      </c>
      <c r="D7" t="str">
        <f t="shared" si="0"/>
        <v>Laptops</v>
      </c>
      <c r="E7" s="3">
        <f t="shared" si="1"/>
        <v>1227775</v>
      </c>
    </row>
    <row r="8" spans="1:5" x14ac:dyDescent="0.3">
      <c r="A8" s="6" t="s">
        <v>12</v>
      </c>
      <c r="B8" s="3">
        <v>1215172</v>
      </c>
      <c r="D8" t="str">
        <f t="shared" si="0"/>
        <v>Binders</v>
      </c>
      <c r="E8" s="3">
        <f t="shared" si="1"/>
        <v>1215172</v>
      </c>
    </row>
    <row r="9" spans="1:5" x14ac:dyDescent="0.3">
      <c r="A9" s="6" t="s">
        <v>53</v>
      </c>
      <c r="B9" s="3">
        <v>1089781</v>
      </c>
      <c r="D9" t="str">
        <f t="shared" si="0"/>
        <v>Storage</v>
      </c>
      <c r="E9" s="3">
        <f t="shared" si="1"/>
        <v>1089781</v>
      </c>
    </row>
    <row r="10" spans="1:5" x14ac:dyDescent="0.3">
      <c r="A10" s="6" t="s">
        <v>18</v>
      </c>
      <c r="B10" s="3">
        <v>1028694</v>
      </c>
      <c r="D10" t="str">
        <f t="shared" si="0"/>
        <v>Beds</v>
      </c>
      <c r="E10" s="3">
        <f t="shared" si="1"/>
        <v>1028694</v>
      </c>
    </row>
    <row r="11" spans="1:5" x14ac:dyDescent="0.3">
      <c r="A11" s="6" t="s">
        <v>47</v>
      </c>
      <c r="B11" s="3">
        <v>994223</v>
      </c>
      <c r="D11" t="str">
        <f t="shared" si="0"/>
        <v>Bookcases</v>
      </c>
      <c r="E11" s="3">
        <f t="shared" si="1"/>
        <v>994223</v>
      </c>
    </row>
    <row r="12" spans="1:5" x14ac:dyDescent="0.3">
      <c r="A12" s="6" t="s">
        <v>35</v>
      </c>
      <c r="B12" s="3">
        <v>948234</v>
      </c>
      <c r="D12" t="str">
        <f t="shared" si="0"/>
        <v>Sofas</v>
      </c>
      <c r="E12" s="3">
        <f t="shared" si="1"/>
        <v>948234</v>
      </c>
    </row>
    <row r="13" spans="1:5" x14ac:dyDescent="0.3">
      <c r="A13" s="6" t="s">
        <v>29</v>
      </c>
      <c r="B13" s="3">
        <v>928537</v>
      </c>
      <c r="D13" t="str">
        <f t="shared" si="0"/>
        <v>Accessories</v>
      </c>
      <c r="E13" s="3">
        <f t="shared" si="1"/>
        <v>928537</v>
      </c>
    </row>
    <row r="14" spans="1:5" x14ac:dyDescent="0.3">
      <c r="A14" s="6" t="s">
        <v>23</v>
      </c>
      <c r="B14" s="3">
        <v>910186</v>
      </c>
      <c r="D14" t="str">
        <f t="shared" si="0"/>
        <v>Phones</v>
      </c>
      <c r="E14" s="3">
        <f t="shared" si="1"/>
        <v>910186</v>
      </c>
    </row>
    <row r="15" spans="1:5" x14ac:dyDescent="0.3">
      <c r="A15" s="6" t="s">
        <v>49</v>
      </c>
      <c r="B15" s="3">
        <v>781546</v>
      </c>
      <c r="D15" t="str">
        <f t="shared" si="0"/>
        <v>Tables</v>
      </c>
      <c r="E15" s="3">
        <f t="shared" si="1"/>
        <v>781546</v>
      </c>
    </row>
    <row r="16" spans="1:5" x14ac:dyDescent="0.3">
      <c r="A16" s="6" t="s">
        <v>55</v>
      </c>
      <c r="B16" s="3">
        <v>714609</v>
      </c>
      <c r="D16" t="str">
        <f t="shared" si="0"/>
        <v>Printers</v>
      </c>
      <c r="E16" s="3">
        <f t="shared" si="1"/>
        <v>714609</v>
      </c>
    </row>
    <row r="17" spans="1:5" x14ac:dyDescent="0.3">
      <c r="A17" s="6" t="s">
        <v>26</v>
      </c>
      <c r="B17" s="3">
        <v>669285</v>
      </c>
      <c r="D17" t="str">
        <f t="shared" si="0"/>
        <v>Chairs</v>
      </c>
      <c r="E17" s="3">
        <f t="shared" si="1"/>
        <v>669285</v>
      </c>
    </row>
    <row r="18" spans="1:5" x14ac:dyDescent="0.3">
      <c r="A18" s="6" t="s">
        <v>64</v>
      </c>
      <c r="B18" s="3">
        <v>14644999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28569-4DC9-4170-A3EE-BA413C9741FE}">
  <dimension ref="A3:D8"/>
  <sheetViews>
    <sheetView workbookViewId="0">
      <selection activeCell="D25" sqref="D25"/>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5" t="s">
        <v>66</v>
      </c>
      <c r="B3" s="5" t="s">
        <v>67</v>
      </c>
    </row>
    <row r="4" spans="1:4" x14ac:dyDescent="0.3">
      <c r="A4" s="5" t="s">
        <v>63</v>
      </c>
      <c r="B4" t="s">
        <v>17</v>
      </c>
      <c r="C4" t="s">
        <v>11</v>
      </c>
      <c r="D4" t="s">
        <v>22</v>
      </c>
    </row>
    <row r="5" spans="1:4" x14ac:dyDescent="0.3">
      <c r="A5" s="7">
        <v>2021</v>
      </c>
      <c r="B5" s="2">
        <v>167362.29999999996</v>
      </c>
      <c r="C5" s="2">
        <v>156983.07000000004</v>
      </c>
      <c r="D5" s="2">
        <v>139535.81</v>
      </c>
    </row>
    <row r="6" spans="1:4" x14ac:dyDescent="0.3">
      <c r="A6" s="7">
        <v>2022</v>
      </c>
      <c r="B6" s="2">
        <v>145354.12</v>
      </c>
      <c r="C6" s="2">
        <v>118342.93000000001</v>
      </c>
      <c r="D6" s="2">
        <v>149212.59000000003</v>
      </c>
    </row>
    <row r="7" spans="1:4" x14ac:dyDescent="0.3">
      <c r="A7" s="7">
        <v>2023</v>
      </c>
      <c r="B7" s="2">
        <v>109147.25999999998</v>
      </c>
      <c r="C7" s="2">
        <v>173751.05999999997</v>
      </c>
      <c r="D7" s="2">
        <v>206550.72000000003</v>
      </c>
    </row>
    <row r="8" spans="1:4" x14ac:dyDescent="0.3">
      <c r="A8" s="7">
        <v>2024</v>
      </c>
      <c r="B8" s="2">
        <v>123893.03999999998</v>
      </c>
      <c r="C8" s="2">
        <v>166164.79000000004</v>
      </c>
      <c r="D8" s="2">
        <v>175521.16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78BBD-F287-4758-9ECA-A48BBA14CA91}">
  <dimension ref="A3:B15"/>
  <sheetViews>
    <sheetView workbookViewId="0">
      <selection activeCell="F25" sqref="F25"/>
    </sheetView>
  </sheetViews>
  <sheetFormatPr defaultRowHeight="14.4" x14ac:dyDescent="0.3"/>
  <cols>
    <col min="1" max="1" width="12.5546875" bestFit="1" customWidth="1"/>
    <col min="2" max="2" width="11.6640625" bestFit="1" customWidth="1"/>
  </cols>
  <sheetData>
    <row r="3" spans="1:2" x14ac:dyDescent="0.3">
      <c r="A3" s="5" t="s">
        <v>63</v>
      </c>
      <c r="B3" t="s">
        <v>65</v>
      </c>
    </row>
    <row r="4" spans="1:2" x14ac:dyDescent="0.3">
      <c r="A4" s="7">
        <v>1</v>
      </c>
      <c r="B4" s="3">
        <v>266822</v>
      </c>
    </row>
    <row r="5" spans="1:2" x14ac:dyDescent="0.3">
      <c r="A5" s="7">
        <v>2</v>
      </c>
      <c r="B5" s="3">
        <v>375540</v>
      </c>
    </row>
    <row r="6" spans="1:2" x14ac:dyDescent="0.3">
      <c r="A6" s="7">
        <v>3</v>
      </c>
      <c r="B6" s="3">
        <v>349250</v>
      </c>
    </row>
    <row r="7" spans="1:2" x14ac:dyDescent="0.3">
      <c r="A7" s="7">
        <v>4</v>
      </c>
      <c r="B7" s="3">
        <v>368865</v>
      </c>
    </row>
    <row r="8" spans="1:2" x14ac:dyDescent="0.3">
      <c r="A8" s="7">
        <v>5</v>
      </c>
      <c r="B8" s="3">
        <v>320988</v>
      </c>
    </row>
    <row r="9" spans="1:2" x14ac:dyDescent="0.3">
      <c r="A9" s="7">
        <v>6</v>
      </c>
      <c r="B9" s="3">
        <v>368114</v>
      </c>
    </row>
    <row r="10" spans="1:2" x14ac:dyDescent="0.3">
      <c r="A10" s="7">
        <v>7</v>
      </c>
      <c r="B10" s="3">
        <v>197382</v>
      </c>
    </row>
    <row r="11" spans="1:2" x14ac:dyDescent="0.3">
      <c r="A11" s="7">
        <v>8</v>
      </c>
      <c r="B11" s="3">
        <v>479543</v>
      </c>
    </row>
    <row r="12" spans="1:2" x14ac:dyDescent="0.3">
      <c r="A12" s="7">
        <v>9</v>
      </c>
      <c r="B12" s="3">
        <v>343852</v>
      </c>
    </row>
    <row r="13" spans="1:2" x14ac:dyDescent="0.3">
      <c r="A13" s="7">
        <v>10</v>
      </c>
      <c r="B13" s="3">
        <v>245265</v>
      </c>
    </row>
    <row r="14" spans="1:2" x14ac:dyDescent="0.3">
      <c r="A14" s="7">
        <v>11</v>
      </c>
      <c r="B14" s="3">
        <v>255412</v>
      </c>
    </row>
    <row r="15" spans="1:2" x14ac:dyDescent="0.3">
      <c r="A15" s="7">
        <v>12</v>
      </c>
      <c r="B15" s="3">
        <v>317751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83381-DB60-4A2E-B95B-77704DAC6352}">
  <dimension ref="A3:E13"/>
  <sheetViews>
    <sheetView workbookViewId="0">
      <selection activeCell="P18" sqref="P18"/>
    </sheetView>
  </sheetViews>
  <sheetFormatPr defaultRowHeight="14.4" x14ac:dyDescent="0.3"/>
  <cols>
    <col min="1" max="1" width="12.5546875" bestFit="1" customWidth="1"/>
    <col min="2" max="2" width="12.109375" bestFit="1" customWidth="1"/>
    <col min="4" max="4" width="12.5546875" customWidth="1"/>
    <col min="5" max="5" width="10.77734375" customWidth="1"/>
  </cols>
  <sheetData>
    <row r="3" spans="1:5" x14ac:dyDescent="0.3">
      <c r="A3" s="5" t="s">
        <v>63</v>
      </c>
      <c r="B3" t="s">
        <v>66</v>
      </c>
    </row>
    <row r="4" spans="1:5" x14ac:dyDescent="0.3">
      <c r="A4" s="6" t="s">
        <v>57</v>
      </c>
      <c r="B4" s="2">
        <v>214547.41999999998</v>
      </c>
      <c r="D4" t="str">
        <f>A4</f>
        <v>Vikram Singh</v>
      </c>
      <c r="E4" s="2">
        <f>B4</f>
        <v>214547.41999999998</v>
      </c>
    </row>
    <row r="5" spans="1:5" x14ac:dyDescent="0.3">
      <c r="A5" s="6" t="s">
        <v>45</v>
      </c>
      <c r="B5" s="2">
        <v>209527.07</v>
      </c>
      <c r="D5" t="str">
        <f t="shared" ref="D5:D8" si="0">A5</f>
        <v>Karan Desai</v>
      </c>
      <c r="E5" s="2">
        <f t="shared" ref="E5:E8" si="1">B5</f>
        <v>209527.07</v>
      </c>
    </row>
    <row r="6" spans="1:5" x14ac:dyDescent="0.3">
      <c r="A6" s="6" t="s">
        <v>9</v>
      </c>
      <c r="B6" s="2">
        <v>206073.37999999995</v>
      </c>
      <c r="D6" t="str">
        <f t="shared" si="0"/>
        <v>Priya Patil</v>
      </c>
      <c r="E6" s="2">
        <f t="shared" si="1"/>
        <v>206073.37999999995</v>
      </c>
    </row>
    <row r="7" spans="1:5" x14ac:dyDescent="0.3">
      <c r="A7" s="6" t="s">
        <v>42</v>
      </c>
      <c r="B7" s="2">
        <v>198477.68999999994</v>
      </c>
      <c r="D7" t="str">
        <f t="shared" si="0"/>
        <v>Rahul Verma</v>
      </c>
      <c r="E7" s="2">
        <f t="shared" si="1"/>
        <v>198477.68999999994</v>
      </c>
    </row>
    <row r="8" spans="1:5" x14ac:dyDescent="0.3">
      <c r="A8" s="6" t="s">
        <v>14</v>
      </c>
      <c r="B8" s="2">
        <v>188631.39</v>
      </c>
      <c r="D8" t="str">
        <f t="shared" si="0"/>
        <v>Rohan Yadav</v>
      </c>
      <c r="E8" s="2">
        <f t="shared" si="1"/>
        <v>188631.39</v>
      </c>
    </row>
    <row r="9" spans="1:5" x14ac:dyDescent="0.3">
      <c r="A9" s="6" t="s">
        <v>20</v>
      </c>
      <c r="B9" s="2">
        <v>183308.18</v>
      </c>
    </row>
    <row r="10" spans="1:5" x14ac:dyDescent="0.3">
      <c r="A10" s="6" t="s">
        <v>28</v>
      </c>
      <c r="B10" s="2">
        <v>167221.96000000005</v>
      </c>
    </row>
    <row r="11" spans="1:5" x14ac:dyDescent="0.3">
      <c r="A11" s="6" t="s">
        <v>25</v>
      </c>
      <c r="B11" s="2">
        <v>160030.51999999999</v>
      </c>
    </row>
    <row r="12" spans="1:5" x14ac:dyDescent="0.3">
      <c r="A12" s="6" t="s">
        <v>34</v>
      </c>
      <c r="B12" s="2">
        <v>157568.64000000001</v>
      </c>
    </row>
    <row r="13" spans="1:5" x14ac:dyDescent="0.3">
      <c r="A13" s="6" t="s">
        <v>16</v>
      </c>
      <c r="B13" s="2">
        <v>146432.6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4239A-77F2-4493-B9EB-A4A7CA123D13}">
  <dimension ref="A3:E9"/>
  <sheetViews>
    <sheetView workbookViewId="0">
      <selection activeCell="O17" sqref="O17"/>
    </sheetView>
  </sheetViews>
  <sheetFormatPr defaultRowHeight="14.4" x14ac:dyDescent="0.3"/>
  <cols>
    <col min="1" max="1" width="12.5546875" bestFit="1" customWidth="1"/>
    <col min="2" max="2" width="11.6640625" bestFit="1" customWidth="1"/>
    <col min="5" max="5" width="9.5546875" bestFit="1" customWidth="1"/>
  </cols>
  <sheetData>
    <row r="3" spans="1:5" x14ac:dyDescent="0.3">
      <c r="A3" s="5" t="s">
        <v>63</v>
      </c>
      <c r="B3" t="s">
        <v>65</v>
      </c>
    </row>
    <row r="4" spans="1:5" x14ac:dyDescent="0.3">
      <c r="A4" s="6" t="s">
        <v>46</v>
      </c>
      <c r="B4" s="3">
        <v>2479049</v>
      </c>
      <c r="D4" t="str">
        <f>A4</f>
        <v>Delhi</v>
      </c>
      <c r="E4" s="3">
        <f>B4</f>
        <v>2479049</v>
      </c>
    </row>
    <row r="5" spans="1:5" x14ac:dyDescent="0.3">
      <c r="A5" s="6" t="s">
        <v>21</v>
      </c>
      <c r="B5" s="3">
        <v>2814480</v>
      </c>
      <c r="D5" t="str">
        <f t="shared" ref="D5:D9" si="0">A5</f>
        <v>Gujarat</v>
      </c>
      <c r="E5" s="3">
        <f t="shared" ref="E5:E9" si="1">B5</f>
        <v>2814480</v>
      </c>
    </row>
    <row r="6" spans="1:5" x14ac:dyDescent="0.3">
      <c r="A6" s="6" t="s">
        <v>31</v>
      </c>
      <c r="B6" s="3">
        <v>2226463</v>
      </c>
      <c r="D6" t="str">
        <f t="shared" si="0"/>
        <v>Karnataka</v>
      </c>
      <c r="E6" s="3">
        <f t="shared" si="1"/>
        <v>2226463</v>
      </c>
    </row>
    <row r="7" spans="1:5" x14ac:dyDescent="0.3">
      <c r="A7" s="6" t="s">
        <v>39</v>
      </c>
      <c r="B7" s="3">
        <v>2301531</v>
      </c>
      <c r="D7" t="str">
        <f t="shared" si="0"/>
        <v>Maharashtra</v>
      </c>
      <c r="E7" s="3">
        <f t="shared" si="1"/>
        <v>2301531</v>
      </c>
    </row>
    <row r="8" spans="1:5" x14ac:dyDescent="0.3">
      <c r="A8" s="6" t="s">
        <v>15</v>
      </c>
      <c r="B8" s="3">
        <v>2025523</v>
      </c>
      <c r="D8" t="str">
        <f t="shared" si="0"/>
        <v>Rajasthan</v>
      </c>
      <c r="E8" s="3">
        <f t="shared" si="1"/>
        <v>2025523</v>
      </c>
    </row>
    <row r="9" spans="1:5" x14ac:dyDescent="0.3">
      <c r="A9" s="6" t="s">
        <v>10</v>
      </c>
      <c r="B9" s="3">
        <v>2797953</v>
      </c>
      <c r="D9" t="str">
        <f t="shared" si="0"/>
        <v>Uttar Pradesh</v>
      </c>
      <c r="E9" s="3">
        <f t="shared" si="1"/>
        <v>2797953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D5EE6-F142-4485-A273-2EB1E9C3DE1B}">
  <dimension ref="A1:K501"/>
  <sheetViews>
    <sheetView workbookViewId="0">
      <selection activeCell="D1" sqref="D1:D1048576"/>
    </sheetView>
  </sheetViews>
  <sheetFormatPr defaultRowHeight="14.4" x14ac:dyDescent="0.3"/>
  <cols>
    <col min="1" max="1" width="12" customWidth="1"/>
    <col min="2" max="3" width="12" style="4" customWidth="1"/>
    <col min="4" max="4" width="16.44140625" customWidth="1"/>
    <col min="6" max="6" width="10.44140625" customWidth="1"/>
    <col min="7" max="7" width="14.33203125" customWidth="1"/>
    <col min="8" max="8" width="15" customWidth="1"/>
    <col min="9" max="9" width="8.88671875" style="3"/>
    <col min="10" max="10" width="10.21875" style="4" customWidth="1"/>
  </cols>
  <sheetData>
    <row r="1" spans="1:11" x14ac:dyDescent="0.3">
      <c r="A1" t="s">
        <v>0</v>
      </c>
      <c r="B1" s="4" t="s">
        <v>61</v>
      </c>
      <c r="C1" s="4" t="s">
        <v>62</v>
      </c>
      <c r="D1" t="s">
        <v>1</v>
      </c>
      <c r="E1" t="s">
        <v>2</v>
      </c>
      <c r="F1" t="s">
        <v>3</v>
      </c>
      <c r="G1" t="s">
        <v>4</v>
      </c>
      <c r="H1" t="s">
        <v>5</v>
      </c>
      <c r="I1" s="3" t="s">
        <v>6</v>
      </c>
      <c r="J1" s="4" t="s">
        <v>7</v>
      </c>
      <c r="K1" s="2" t="s">
        <v>8</v>
      </c>
    </row>
    <row r="2" spans="1:11" x14ac:dyDescent="0.3">
      <c r="A2" s="1">
        <v>44207</v>
      </c>
      <c r="B2" s="4">
        <f t="shared" ref="B2:B65" si="0">YEAR(A2)</f>
        <v>2021</v>
      </c>
      <c r="C2" s="4">
        <f t="shared" ref="C2:C65" si="1">MONTH(A2)</f>
        <v>1</v>
      </c>
      <c r="D2" t="s">
        <v>16</v>
      </c>
      <c r="E2" t="s">
        <v>46</v>
      </c>
      <c r="F2" t="s">
        <v>22</v>
      </c>
      <c r="G2" t="s">
        <v>23</v>
      </c>
      <c r="H2" t="s">
        <v>24</v>
      </c>
      <c r="I2" s="3">
        <v>36267</v>
      </c>
      <c r="J2" s="4">
        <v>3</v>
      </c>
      <c r="K2" s="2">
        <v>4026.95</v>
      </c>
    </row>
    <row r="3" spans="1:11" x14ac:dyDescent="0.3">
      <c r="A3" s="1">
        <v>44209</v>
      </c>
      <c r="B3" s="4">
        <f t="shared" si="0"/>
        <v>2021</v>
      </c>
      <c r="C3" s="4">
        <f t="shared" si="1"/>
        <v>1</v>
      </c>
      <c r="D3" t="s">
        <v>45</v>
      </c>
      <c r="E3" t="s">
        <v>39</v>
      </c>
      <c r="F3" t="s">
        <v>22</v>
      </c>
      <c r="G3" t="s">
        <v>55</v>
      </c>
      <c r="H3" t="s">
        <v>56</v>
      </c>
      <c r="I3" s="3">
        <v>12088</v>
      </c>
      <c r="J3" s="4">
        <v>3</v>
      </c>
      <c r="K3" s="2">
        <v>1631.25</v>
      </c>
    </row>
    <row r="4" spans="1:11" x14ac:dyDescent="0.3">
      <c r="A4" s="1">
        <v>44213</v>
      </c>
      <c r="B4" s="4">
        <f t="shared" si="0"/>
        <v>2021</v>
      </c>
      <c r="C4" s="4">
        <f t="shared" si="1"/>
        <v>1</v>
      </c>
      <c r="D4" t="s">
        <v>16</v>
      </c>
      <c r="E4" t="s">
        <v>21</v>
      </c>
      <c r="F4" t="s">
        <v>11</v>
      </c>
      <c r="G4" t="s">
        <v>53</v>
      </c>
      <c r="H4" t="s">
        <v>54</v>
      </c>
      <c r="I4" s="3">
        <v>37288</v>
      </c>
      <c r="J4" s="4">
        <v>1</v>
      </c>
      <c r="K4" s="2">
        <v>6957.66</v>
      </c>
    </row>
    <row r="5" spans="1:11" x14ac:dyDescent="0.3">
      <c r="A5" s="1">
        <v>44222</v>
      </c>
      <c r="B5" s="4">
        <f t="shared" si="0"/>
        <v>2021</v>
      </c>
      <c r="C5" s="4">
        <f t="shared" si="1"/>
        <v>1</v>
      </c>
      <c r="D5" t="s">
        <v>28</v>
      </c>
      <c r="E5" t="s">
        <v>10</v>
      </c>
      <c r="F5" t="s">
        <v>17</v>
      </c>
      <c r="G5" t="s">
        <v>47</v>
      </c>
      <c r="H5" t="s">
        <v>48</v>
      </c>
      <c r="I5" s="3">
        <v>46374</v>
      </c>
      <c r="J5" s="4">
        <v>9</v>
      </c>
      <c r="K5" s="2">
        <v>7657.71</v>
      </c>
    </row>
    <row r="6" spans="1:11" x14ac:dyDescent="0.3">
      <c r="A6" s="1">
        <v>44225</v>
      </c>
      <c r="B6" s="4">
        <f t="shared" si="0"/>
        <v>2021</v>
      </c>
      <c r="C6" s="4">
        <f t="shared" si="1"/>
        <v>1</v>
      </c>
      <c r="D6" t="s">
        <v>34</v>
      </c>
      <c r="E6" t="s">
        <v>10</v>
      </c>
      <c r="F6" t="s">
        <v>22</v>
      </c>
      <c r="G6" t="s">
        <v>23</v>
      </c>
      <c r="H6" t="s">
        <v>60</v>
      </c>
      <c r="I6" s="3">
        <v>17531</v>
      </c>
      <c r="J6" s="4">
        <v>9</v>
      </c>
      <c r="K6" s="2">
        <v>1201.55</v>
      </c>
    </row>
    <row r="7" spans="1:11" x14ac:dyDescent="0.3">
      <c r="A7" s="1">
        <v>44236</v>
      </c>
      <c r="B7" s="4">
        <f t="shared" si="0"/>
        <v>2021</v>
      </c>
      <c r="C7" s="4">
        <f t="shared" si="1"/>
        <v>2</v>
      </c>
      <c r="D7" t="s">
        <v>42</v>
      </c>
      <c r="E7" t="s">
        <v>31</v>
      </c>
      <c r="F7" t="s">
        <v>17</v>
      </c>
      <c r="G7" t="s">
        <v>49</v>
      </c>
      <c r="H7" t="s">
        <v>50</v>
      </c>
      <c r="I7" s="3">
        <v>15169</v>
      </c>
      <c r="J7" s="4">
        <v>4</v>
      </c>
      <c r="K7" s="2">
        <v>2413.0100000000002</v>
      </c>
    </row>
    <row r="8" spans="1:11" x14ac:dyDescent="0.3">
      <c r="A8" s="1">
        <v>44237</v>
      </c>
      <c r="B8" s="4">
        <f t="shared" si="0"/>
        <v>2021</v>
      </c>
      <c r="C8" s="4">
        <f t="shared" si="1"/>
        <v>2</v>
      </c>
      <c r="D8" t="s">
        <v>28</v>
      </c>
      <c r="E8" t="s">
        <v>31</v>
      </c>
      <c r="F8" t="s">
        <v>17</v>
      </c>
      <c r="G8" t="s">
        <v>49</v>
      </c>
      <c r="H8" t="s">
        <v>51</v>
      </c>
      <c r="I8" s="3">
        <v>34701</v>
      </c>
      <c r="J8" s="4">
        <v>8</v>
      </c>
      <c r="K8" s="2">
        <v>1738.61</v>
      </c>
    </row>
    <row r="9" spans="1:11" x14ac:dyDescent="0.3">
      <c r="A9" s="1">
        <v>44238</v>
      </c>
      <c r="B9" s="4">
        <f t="shared" si="0"/>
        <v>2021</v>
      </c>
      <c r="C9" s="4">
        <f t="shared" si="1"/>
        <v>2</v>
      </c>
      <c r="D9" t="s">
        <v>16</v>
      </c>
      <c r="E9" t="s">
        <v>10</v>
      </c>
      <c r="F9" t="s">
        <v>22</v>
      </c>
      <c r="G9" t="s">
        <v>55</v>
      </c>
      <c r="H9" t="s">
        <v>56</v>
      </c>
      <c r="I9" s="3">
        <v>22342</v>
      </c>
      <c r="J9" s="4">
        <v>5</v>
      </c>
      <c r="K9" s="2">
        <v>2159.1799999999998</v>
      </c>
    </row>
    <row r="10" spans="1:11" x14ac:dyDescent="0.3">
      <c r="A10" s="1">
        <v>44241</v>
      </c>
      <c r="B10" s="4">
        <f t="shared" si="0"/>
        <v>2021</v>
      </c>
      <c r="C10" s="4">
        <f t="shared" si="1"/>
        <v>2</v>
      </c>
      <c r="D10" t="s">
        <v>16</v>
      </c>
      <c r="E10" t="s">
        <v>31</v>
      </c>
      <c r="F10" t="s">
        <v>11</v>
      </c>
      <c r="G10" t="s">
        <v>37</v>
      </c>
      <c r="H10" t="s">
        <v>38</v>
      </c>
      <c r="I10" s="3">
        <v>4425</v>
      </c>
      <c r="J10" s="4">
        <v>4</v>
      </c>
      <c r="K10" s="2">
        <v>820.28</v>
      </c>
    </row>
    <row r="11" spans="1:11" x14ac:dyDescent="0.3">
      <c r="A11" s="1">
        <v>44247</v>
      </c>
      <c r="B11" s="4">
        <f t="shared" si="0"/>
        <v>2021</v>
      </c>
      <c r="C11" s="4">
        <f t="shared" si="1"/>
        <v>2</v>
      </c>
      <c r="D11" t="s">
        <v>9</v>
      </c>
      <c r="E11" t="s">
        <v>39</v>
      </c>
      <c r="F11" t="s">
        <v>11</v>
      </c>
      <c r="G11" t="s">
        <v>32</v>
      </c>
      <c r="H11" t="s">
        <v>33</v>
      </c>
      <c r="I11" s="3">
        <v>31838</v>
      </c>
      <c r="J11" s="4">
        <v>2</v>
      </c>
      <c r="K11" s="2">
        <v>3002.8</v>
      </c>
    </row>
    <row r="12" spans="1:11" x14ac:dyDescent="0.3">
      <c r="A12" s="1">
        <v>44253</v>
      </c>
      <c r="B12" s="4">
        <f t="shared" si="0"/>
        <v>2021</v>
      </c>
      <c r="C12" s="4">
        <f t="shared" si="1"/>
        <v>2</v>
      </c>
      <c r="D12" t="s">
        <v>57</v>
      </c>
      <c r="E12" t="s">
        <v>39</v>
      </c>
      <c r="F12" t="s">
        <v>11</v>
      </c>
      <c r="G12" t="s">
        <v>53</v>
      </c>
      <c r="H12" t="s">
        <v>54</v>
      </c>
      <c r="I12" s="3">
        <v>7759</v>
      </c>
      <c r="J12" s="4">
        <v>5</v>
      </c>
      <c r="K12" s="2">
        <v>595.78</v>
      </c>
    </row>
    <row r="13" spans="1:11" x14ac:dyDescent="0.3">
      <c r="A13" s="1">
        <v>44255</v>
      </c>
      <c r="B13" s="4">
        <f t="shared" si="0"/>
        <v>2021</v>
      </c>
      <c r="C13" s="4">
        <f t="shared" si="1"/>
        <v>2</v>
      </c>
      <c r="D13" t="s">
        <v>28</v>
      </c>
      <c r="E13" t="s">
        <v>21</v>
      </c>
      <c r="F13" t="s">
        <v>11</v>
      </c>
      <c r="G13" t="s">
        <v>37</v>
      </c>
      <c r="H13" t="s">
        <v>38</v>
      </c>
      <c r="I13" s="3">
        <v>5523</v>
      </c>
      <c r="J13" s="4">
        <v>1</v>
      </c>
      <c r="K13" s="2">
        <v>1061.97</v>
      </c>
    </row>
    <row r="14" spans="1:11" x14ac:dyDescent="0.3">
      <c r="A14" s="1">
        <v>44256</v>
      </c>
      <c r="B14" s="4">
        <f t="shared" si="0"/>
        <v>2021</v>
      </c>
      <c r="C14" s="4">
        <f t="shared" si="1"/>
        <v>3</v>
      </c>
      <c r="D14" t="s">
        <v>42</v>
      </c>
      <c r="E14" t="s">
        <v>21</v>
      </c>
      <c r="F14" t="s">
        <v>11</v>
      </c>
      <c r="G14" t="s">
        <v>53</v>
      </c>
      <c r="H14" t="s">
        <v>54</v>
      </c>
      <c r="I14" s="3">
        <v>41489</v>
      </c>
      <c r="J14" s="4">
        <v>10</v>
      </c>
      <c r="K14" s="2">
        <v>7048.86</v>
      </c>
    </row>
    <row r="15" spans="1:11" x14ac:dyDescent="0.3">
      <c r="A15" s="1">
        <v>44257</v>
      </c>
      <c r="B15" s="4">
        <f t="shared" si="0"/>
        <v>2021</v>
      </c>
      <c r="C15" s="4">
        <f t="shared" si="1"/>
        <v>3</v>
      </c>
      <c r="D15" t="s">
        <v>20</v>
      </c>
      <c r="E15" t="s">
        <v>31</v>
      </c>
      <c r="F15" t="s">
        <v>11</v>
      </c>
      <c r="G15" t="s">
        <v>53</v>
      </c>
      <c r="H15" t="s">
        <v>54</v>
      </c>
      <c r="I15" s="3">
        <v>25282</v>
      </c>
      <c r="J15" s="4">
        <v>7</v>
      </c>
      <c r="K15" s="2">
        <v>1919.44</v>
      </c>
    </row>
    <row r="16" spans="1:11" x14ac:dyDescent="0.3">
      <c r="A16" s="1">
        <v>44257</v>
      </c>
      <c r="B16" s="4">
        <f t="shared" si="0"/>
        <v>2021</v>
      </c>
      <c r="C16" s="4">
        <f t="shared" si="1"/>
        <v>3</v>
      </c>
      <c r="D16" t="s">
        <v>16</v>
      </c>
      <c r="E16" t="s">
        <v>15</v>
      </c>
      <c r="F16" t="s">
        <v>17</v>
      </c>
      <c r="G16" t="s">
        <v>47</v>
      </c>
      <c r="H16" t="s">
        <v>48</v>
      </c>
      <c r="I16" s="3">
        <v>58904</v>
      </c>
      <c r="J16" s="4">
        <v>5</v>
      </c>
      <c r="K16" s="2">
        <v>3462.89</v>
      </c>
    </row>
    <row r="17" spans="1:11" x14ac:dyDescent="0.3">
      <c r="A17" s="1">
        <v>44260</v>
      </c>
      <c r="B17" s="4">
        <f t="shared" si="0"/>
        <v>2021</v>
      </c>
      <c r="C17" s="4">
        <f t="shared" si="1"/>
        <v>3</v>
      </c>
      <c r="D17" t="s">
        <v>28</v>
      </c>
      <c r="E17" t="s">
        <v>31</v>
      </c>
      <c r="F17" t="s">
        <v>11</v>
      </c>
      <c r="G17" t="s">
        <v>12</v>
      </c>
      <c r="H17" t="s">
        <v>13</v>
      </c>
      <c r="I17" s="3">
        <v>16405</v>
      </c>
      <c r="J17" s="4">
        <v>4</v>
      </c>
      <c r="K17" s="2">
        <v>2885.38</v>
      </c>
    </row>
    <row r="18" spans="1:11" x14ac:dyDescent="0.3">
      <c r="A18" s="1">
        <v>44262</v>
      </c>
      <c r="B18" s="4">
        <f t="shared" si="0"/>
        <v>2021</v>
      </c>
      <c r="C18" s="4">
        <f t="shared" si="1"/>
        <v>3</v>
      </c>
      <c r="D18" t="s">
        <v>14</v>
      </c>
      <c r="E18" t="s">
        <v>15</v>
      </c>
      <c r="F18" t="s">
        <v>11</v>
      </c>
      <c r="G18" t="s">
        <v>12</v>
      </c>
      <c r="H18" t="s">
        <v>13</v>
      </c>
      <c r="I18" s="3">
        <v>2152</v>
      </c>
      <c r="J18" s="4">
        <v>2</v>
      </c>
      <c r="K18" s="2">
        <v>178.18</v>
      </c>
    </row>
    <row r="19" spans="1:11" x14ac:dyDescent="0.3">
      <c r="A19" s="1">
        <v>44262</v>
      </c>
      <c r="B19" s="4">
        <f t="shared" si="0"/>
        <v>2021</v>
      </c>
      <c r="C19" s="4">
        <f t="shared" si="1"/>
        <v>3</v>
      </c>
      <c r="D19" t="s">
        <v>25</v>
      </c>
      <c r="E19" t="s">
        <v>31</v>
      </c>
      <c r="F19" t="s">
        <v>22</v>
      </c>
      <c r="G19" t="s">
        <v>43</v>
      </c>
      <c r="H19" t="s">
        <v>59</v>
      </c>
      <c r="I19" s="3">
        <v>53249</v>
      </c>
      <c r="J19" s="4">
        <v>7</v>
      </c>
      <c r="K19" s="2">
        <v>7574.06</v>
      </c>
    </row>
    <row r="20" spans="1:11" x14ac:dyDescent="0.3">
      <c r="A20" s="1">
        <v>44263</v>
      </c>
      <c r="B20" s="4">
        <f t="shared" si="0"/>
        <v>2021</v>
      </c>
      <c r="C20" s="4">
        <f t="shared" si="1"/>
        <v>3</v>
      </c>
      <c r="D20" t="s">
        <v>9</v>
      </c>
      <c r="E20" t="s">
        <v>46</v>
      </c>
      <c r="F20" t="s">
        <v>11</v>
      </c>
      <c r="G20" t="s">
        <v>32</v>
      </c>
      <c r="H20" t="s">
        <v>33</v>
      </c>
      <c r="I20" s="3">
        <v>29673</v>
      </c>
      <c r="J20" s="4">
        <v>5</v>
      </c>
      <c r="K20" s="2">
        <v>3035.15</v>
      </c>
    </row>
    <row r="21" spans="1:11" x14ac:dyDescent="0.3">
      <c r="A21" s="1">
        <v>44268</v>
      </c>
      <c r="B21" s="4">
        <f t="shared" si="0"/>
        <v>2021</v>
      </c>
      <c r="C21" s="4">
        <f t="shared" si="1"/>
        <v>3</v>
      </c>
      <c r="D21" t="s">
        <v>34</v>
      </c>
      <c r="E21" t="s">
        <v>21</v>
      </c>
      <c r="F21" t="s">
        <v>17</v>
      </c>
      <c r="G21" t="s">
        <v>18</v>
      </c>
      <c r="H21" t="s">
        <v>19</v>
      </c>
      <c r="I21" s="3">
        <v>8472</v>
      </c>
      <c r="J21" s="4">
        <v>2</v>
      </c>
      <c r="K21" s="2">
        <v>723.5</v>
      </c>
    </row>
    <row r="22" spans="1:11" x14ac:dyDescent="0.3">
      <c r="A22" s="1">
        <v>44273</v>
      </c>
      <c r="B22" s="4">
        <f t="shared" si="0"/>
        <v>2021</v>
      </c>
      <c r="C22" s="4">
        <f t="shared" si="1"/>
        <v>3</v>
      </c>
      <c r="D22" t="s">
        <v>9</v>
      </c>
      <c r="E22" t="s">
        <v>21</v>
      </c>
      <c r="F22" t="s">
        <v>22</v>
      </c>
      <c r="G22" t="s">
        <v>43</v>
      </c>
      <c r="H22" t="s">
        <v>44</v>
      </c>
      <c r="I22" s="3">
        <v>807</v>
      </c>
      <c r="J22" s="4">
        <v>5</v>
      </c>
      <c r="K22" s="2">
        <v>109.1</v>
      </c>
    </row>
    <row r="23" spans="1:11" x14ac:dyDescent="0.3">
      <c r="A23" s="1">
        <v>44273</v>
      </c>
      <c r="B23" s="4">
        <f t="shared" si="0"/>
        <v>2021</v>
      </c>
      <c r="C23" s="4">
        <f t="shared" si="1"/>
        <v>3</v>
      </c>
      <c r="D23" t="s">
        <v>28</v>
      </c>
      <c r="E23" t="s">
        <v>15</v>
      </c>
      <c r="F23" t="s">
        <v>11</v>
      </c>
      <c r="G23" t="s">
        <v>53</v>
      </c>
      <c r="H23" t="s">
        <v>54</v>
      </c>
      <c r="I23" s="3">
        <v>11485</v>
      </c>
      <c r="J23" s="4">
        <v>5</v>
      </c>
      <c r="K23" s="2">
        <v>1268.47</v>
      </c>
    </row>
    <row r="24" spans="1:11" x14ac:dyDescent="0.3">
      <c r="A24" s="1">
        <v>44274</v>
      </c>
      <c r="B24" s="4">
        <f t="shared" si="0"/>
        <v>2021</v>
      </c>
      <c r="C24" s="4">
        <f t="shared" si="1"/>
        <v>3</v>
      </c>
      <c r="D24" t="s">
        <v>25</v>
      </c>
      <c r="E24" t="s">
        <v>21</v>
      </c>
      <c r="F24" t="s">
        <v>22</v>
      </c>
      <c r="G24" t="s">
        <v>40</v>
      </c>
      <c r="H24" t="s">
        <v>41</v>
      </c>
      <c r="I24" s="3">
        <v>35181</v>
      </c>
      <c r="J24" s="4">
        <v>4</v>
      </c>
      <c r="K24" s="2">
        <v>5614.85</v>
      </c>
    </row>
    <row r="25" spans="1:11" x14ac:dyDescent="0.3">
      <c r="A25" s="1">
        <v>44277</v>
      </c>
      <c r="B25" s="4">
        <f t="shared" si="0"/>
        <v>2021</v>
      </c>
      <c r="C25" s="4">
        <f t="shared" si="1"/>
        <v>3</v>
      </c>
      <c r="D25" t="s">
        <v>14</v>
      </c>
      <c r="E25" t="s">
        <v>15</v>
      </c>
      <c r="F25" t="s">
        <v>17</v>
      </c>
      <c r="G25" t="s">
        <v>18</v>
      </c>
      <c r="H25" t="s">
        <v>19</v>
      </c>
      <c r="I25" s="3">
        <v>16436</v>
      </c>
      <c r="J25" s="4">
        <v>8</v>
      </c>
      <c r="K25" s="2">
        <v>3264.98</v>
      </c>
    </row>
    <row r="26" spans="1:11" x14ac:dyDescent="0.3">
      <c r="A26" s="1">
        <v>44277</v>
      </c>
      <c r="B26" s="4">
        <f t="shared" si="0"/>
        <v>2021</v>
      </c>
      <c r="C26" s="4">
        <f t="shared" si="1"/>
        <v>3</v>
      </c>
      <c r="D26" t="s">
        <v>16</v>
      </c>
      <c r="E26" t="s">
        <v>21</v>
      </c>
      <c r="F26" t="s">
        <v>22</v>
      </c>
      <c r="G26" t="s">
        <v>55</v>
      </c>
      <c r="H26" t="s">
        <v>56</v>
      </c>
      <c r="I26" s="3">
        <v>36122</v>
      </c>
      <c r="J26" s="4">
        <v>8</v>
      </c>
      <c r="K26" s="2">
        <v>6738.69</v>
      </c>
    </row>
    <row r="27" spans="1:11" x14ac:dyDescent="0.3">
      <c r="A27" s="1">
        <v>44283</v>
      </c>
      <c r="B27" s="4">
        <f t="shared" si="0"/>
        <v>2021</v>
      </c>
      <c r="C27" s="4">
        <f t="shared" si="1"/>
        <v>3</v>
      </c>
      <c r="D27" t="s">
        <v>45</v>
      </c>
      <c r="E27" t="s">
        <v>21</v>
      </c>
      <c r="F27" t="s">
        <v>22</v>
      </c>
      <c r="G27" t="s">
        <v>55</v>
      </c>
      <c r="H27" t="s">
        <v>56</v>
      </c>
      <c r="I27" s="3">
        <v>47832</v>
      </c>
      <c r="J27" s="4">
        <v>6</v>
      </c>
      <c r="K27" s="2">
        <v>6803.04</v>
      </c>
    </row>
    <row r="28" spans="1:11" x14ac:dyDescent="0.3">
      <c r="A28" s="1">
        <v>44284</v>
      </c>
      <c r="B28" s="4">
        <f t="shared" si="0"/>
        <v>2021</v>
      </c>
      <c r="C28" s="4">
        <f t="shared" si="1"/>
        <v>3</v>
      </c>
      <c r="D28" t="s">
        <v>28</v>
      </c>
      <c r="E28" t="s">
        <v>46</v>
      </c>
      <c r="F28" t="s">
        <v>17</v>
      </c>
      <c r="G28" t="s">
        <v>47</v>
      </c>
      <c r="H28" t="s">
        <v>48</v>
      </c>
      <c r="I28" s="3">
        <v>30411</v>
      </c>
      <c r="J28" s="4">
        <v>1</v>
      </c>
      <c r="K28" s="2">
        <v>2286.86</v>
      </c>
    </row>
    <row r="29" spans="1:11" x14ac:dyDescent="0.3">
      <c r="A29" s="1">
        <v>44289</v>
      </c>
      <c r="B29" s="4">
        <f t="shared" si="0"/>
        <v>2021</v>
      </c>
      <c r="C29" s="4">
        <f t="shared" si="1"/>
        <v>4</v>
      </c>
      <c r="D29" t="s">
        <v>9</v>
      </c>
      <c r="E29" t="s">
        <v>39</v>
      </c>
      <c r="F29" t="s">
        <v>22</v>
      </c>
      <c r="G29" t="s">
        <v>23</v>
      </c>
      <c r="H29" t="s">
        <v>24</v>
      </c>
      <c r="I29" s="3">
        <v>2638</v>
      </c>
      <c r="J29" s="4">
        <v>5</v>
      </c>
      <c r="K29" s="2">
        <v>525.99</v>
      </c>
    </row>
    <row r="30" spans="1:11" x14ac:dyDescent="0.3">
      <c r="A30" s="1">
        <v>44289</v>
      </c>
      <c r="B30" s="4">
        <f t="shared" si="0"/>
        <v>2021</v>
      </c>
      <c r="C30" s="4">
        <f t="shared" si="1"/>
        <v>4</v>
      </c>
      <c r="D30" t="s">
        <v>14</v>
      </c>
      <c r="E30" t="s">
        <v>39</v>
      </c>
      <c r="F30" t="s">
        <v>17</v>
      </c>
      <c r="G30" t="s">
        <v>49</v>
      </c>
      <c r="H30" t="s">
        <v>51</v>
      </c>
      <c r="I30" s="3">
        <v>27967</v>
      </c>
      <c r="J30" s="4">
        <v>6</v>
      </c>
      <c r="K30" s="2">
        <v>4336.5</v>
      </c>
    </row>
    <row r="31" spans="1:11" x14ac:dyDescent="0.3">
      <c r="A31" s="1">
        <v>44290</v>
      </c>
      <c r="B31" s="4">
        <f t="shared" si="0"/>
        <v>2021</v>
      </c>
      <c r="C31" s="4">
        <f t="shared" si="1"/>
        <v>4</v>
      </c>
      <c r="D31" t="s">
        <v>9</v>
      </c>
      <c r="E31" t="s">
        <v>31</v>
      </c>
      <c r="F31" t="s">
        <v>11</v>
      </c>
      <c r="G31" t="s">
        <v>32</v>
      </c>
      <c r="H31" t="s">
        <v>33</v>
      </c>
      <c r="I31" s="3">
        <v>43536</v>
      </c>
      <c r="J31" s="4">
        <v>4</v>
      </c>
      <c r="K31" s="2">
        <v>7225.25</v>
      </c>
    </row>
    <row r="32" spans="1:11" x14ac:dyDescent="0.3">
      <c r="A32" s="1">
        <v>44290</v>
      </c>
      <c r="B32" s="4">
        <f t="shared" si="0"/>
        <v>2021</v>
      </c>
      <c r="C32" s="4">
        <f t="shared" si="1"/>
        <v>4</v>
      </c>
      <c r="D32" t="s">
        <v>25</v>
      </c>
      <c r="E32" t="s">
        <v>21</v>
      </c>
      <c r="F32" t="s">
        <v>22</v>
      </c>
      <c r="G32" t="s">
        <v>55</v>
      </c>
      <c r="H32" t="s">
        <v>56</v>
      </c>
      <c r="I32" s="3">
        <v>37065</v>
      </c>
      <c r="J32" s="4">
        <v>4</v>
      </c>
      <c r="K32" s="2">
        <v>5974.43</v>
      </c>
    </row>
    <row r="33" spans="1:11" x14ac:dyDescent="0.3">
      <c r="A33" s="1">
        <v>44293</v>
      </c>
      <c r="B33" s="4">
        <f t="shared" si="0"/>
        <v>2021</v>
      </c>
      <c r="C33" s="4">
        <f t="shared" si="1"/>
        <v>4</v>
      </c>
      <c r="D33" t="s">
        <v>34</v>
      </c>
      <c r="E33" t="s">
        <v>10</v>
      </c>
      <c r="F33" t="s">
        <v>17</v>
      </c>
      <c r="G33" t="s">
        <v>35</v>
      </c>
      <c r="H33" t="s">
        <v>36</v>
      </c>
      <c r="I33" s="3">
        <v>22771</v>
      </c>
      <c r="J33" s="4">
        <v>7</v>
      </c>
      <c r="K33" s="2">
        <v>3822.58</v>
      </c>
    </row>
    <row r="34" spans="1:11" x14ac:dyDescent="0.3">
      <c r="A34" s="1">
        <v>44295</v>
      </c>
      <c r="B34" s="4">
        <f t="shared" si="0"/>
        <v>2021</v>
      </c>
      <c r="C34" s="4">
        <f t="shared" si="1"/>
        <v>4</v>
      </c>
      <c r="D34" t="s">
        <v>42</v>
      </c>
      <c r="E34" t="s">
        <v>46</v>
      </c>
      <c r="F34" t="s">
        <v>22</v>
      </c>
      <c r="G34" t="s">
        <v>23</v>
      </c>
      <c r="H34" t="s">
        <v>24</v>
      </c>
      <c r="I34" s="3">
        <v>25492</v>
      </c>
      <c r="J34" s="4">
        <v>8</v>
      </c>
      <c r="K34" s="2">
        <v>4075.86</v>
      </c>
    </row>
    <row r="35" spans="1:11" x14ac:dyDescent="0.3">
      <c r="A35" s="1">
        <v>44300</v>
      </c>
      <c r="B35" s="4">
        <f t="shared" si="0"/>
        <v>2021</v>
      </c>
      <c r="C35" s="4">
        <f t="shared" si="1"/>
        <v>4</v>
      </c>
      <c r="D35" t="s">
        <v>42</v>
      </c>
      <c r="E35" t="s">
        <v>15</v>
      </c>
      <c r="F35" t="s">
        <v>17</v>
      </c>
      <c r="G35" t="s">
        <v>49</v>
      </c>
      <c r="H35" t="s">
        <v>51</v>
      </c>
      <c r="I35" s="3">
        <v>51763</v>
      </c>
      <c r="J35" s="4">
        <v>6</v>
      </c>
      <c r="K35" s="2">
        <v>4479.33</v>
      </c>
    </row>
    <row r="36" spans="1:11" x14ac:dyDescent="0.3">
      <c r="A36" s="1">
        <v>44302</v>
      </c>
      <c r="B36" s="4">
        <f t="shared" si="0"/>
        <v>2021</v>
      </c>
      <c r="C36" s="4">
        <f t="shared" si="1"/>
        <v>4</v>
      </c>
      <c r="D36" t="s">
        <v>28</v>
      </c>
      <c r="E36" t="s">
        <v>39</v>
      </c>
      <c r="F36" t="s">
        <v>22</v>
      </c>
      <c r="G36" t="s">
        <v>23</v>
      </c>
      <c r="H36" t="s">
        <v>24</v>
      </c>
      <c r="I36" s="3">
        <v>17793</v>
      </c>
      <c r="J36" s="4">
        <v>7</v>
      </c>
      <c r="K36" s="2">
        <v>2687.65</v>
      </c>
    </row>
    <row r="37" spans="1:11" x14ac:dyDescent="0.3">
      <c r="A37" s="1">
        <v>44312</v>
      </c>
      <c r="B37" s="4">
        <f t="shared" si="0"/>
        <v>2021</v>
      </c>
      <c r="C37" s="4">
        <f t="shared" si="1"/>
        <v>4</v>
      </c>
      <c r="D37" t="s">
        <v>14</v>
      </c>
      <c r="E37" t="s">
        <v>46</v>
      </c>
      <c r="F37" t="s">
        <v>22</v>
      </c>
      <c r="G37" t="s">
        <v>29</v>
      </c>
      <c r="H37" t="s">
        <v>58</v>
      </c>
      <c r="I37" s="3">
        <v>33968</v>
      </c>
      <c r="J37" s="4">
        <v>3</v>
      </c>
      <c r="K37" s="2">
        <v>2032.73</v>
      </c>
    </row>
    <row r="38" spans="1:11" x14ac:dyDescent="0.3">
      <c r="A38" s="1">
        <v>44314</v>
      </c>
      <c r="B38" s="4">
        <f t="shared" si="0"/>
        <v>2021</v>
      </c>
      <c r="C38" s="4">
        <f t="shared" si="1"/>
        <v>4</v>
      </c>
      <c r="D38" t="s">
        <v>14</v>
      </c>
      <c r="E38" t="s">
        <v>31</v>
      </c>
      <c r="F38" t="s">
        <v>11</v>
      </c>
      <c r="G38" t="s">
        <v>12</v>
      </c>
      <c r="H38" t="s">
        <v>13</v>
      </c>
      <c r="I38" s="3">
        <v>3486</v>
      </c>
      <c r="J38" s="4">
        <v>10</v>
      </c>
      <c r="K38" s="2">
        <v>423.61</v>
      </c>
    </row>
    <row r="39" spans="1:11" x14ac:dyDescent="0.3">
      <c r="A39" s="1">
        <v>44315</v>
      </c>
      <c r="B39" s="4">
        <f t="shared" si="0"/>
        <v>2021</v>
      </c>
      <c r="C39" s="4">
        <f t="shared" si="1"/>
        <v>4</v>
      </c>
      <c r="D39" t="s">
        <v>9</v>
      </c>
      <c r="E39" t="s">
        <v>46</v>
      </c>
      <c r="F39" t="s">
        <v>11</v>
      </c>
      <c r="G39" t="s">
        <v>53</v>
      </c>
      <c r="H39" t="s">
        <v>54</v>
      </c>
      <c r="I39" s="3">
        <v>16222</v>
      </c>
      <c r="J39" s="4">
        <v>2</v>
      </c>
      <c r="K39" s="2">
        <v>3061</v>
      </c>
    </row>
    <row r="40" spans="1:11" x14ac:dyDescent="0.3">
      <c r="A40" s="1">
        <v>44320</v>
      </c>
      <c r="B40" s="4">
        <f t="shared" si="0"/>
        <v>2021</v>
      </c>
      <c r="C40" s="4">
        <f t="shared" si="1"/>
        <v>5</v>
      </c>
      <c r="D40" t="s">
        <v>14</v>
      </c>
      <c r="E40" t="s">
        <v>46</v>
      </c>
      <c r="F40" t="s">
        <v>22</v>
      </c>
      <c r="G40" t="s">
        <v>43</v>
      </c>
      <c r="H40" t="s">
        <v>59</v>
      </c>
      <c r="I40" s="3">
        <v>51926</v>
      </c>
      <c r="J40" s="4">
        <v>7</v>
      </c>
      <c r="K40" s="2">
        <v>6542.24</v>
      </c>
    </row>
    <row r="41" spans="1:11" x14ac:dyDescent="0.3">
      <c r="A41" s="1">
        <v>44321</v>
      </c>
      <c r="B41" s="4">
        <f t="shared" si="0"/>
        <v>2021</v>
      </c>
      <c r="C41" s="4">
        <f t="shared" si="1"/>
        <v>5</v>
      </c>
      <c r="D41" t="s">
        <v>9</v>
      </c>
      <c r="E41" t="s">
        <v>46</v>
      </c>
      <c r="F41" t="s">
        <v>22</v>
      </c>
      <c r="G41" t="s">
        <v>29</v>
      </c>
      <c r="H41" t="s">
        <v>58</v>
      </c>
      <c r="I41" s="3">
        <v>26292</v>
      </c>
      <c r="J41" s="4">
        <v>5</v>
      </c>
      <c r="K41" s="2">
        <v>2063.17</v>
      </c>
    </row>
    <row r="42" spans="1:11" x14ac:dyDescent="0.3">
      <c r="A42" s="1">
        <v>44328</v>
      </c>
      <c r="B42" s="4">
        <f t="shared" si="0"/>
        <v>2021</v>
      </c>
      <c r="C42" s="4">
        <f t="shared" si="1"/>
        <v>5</v>
      </c>
      <c r="D42" t="s">
        <v>20</v>
      </c>
      <c r="E42" t="s">
        <v>15</v>
      </c>
      <c r="F42" t="s">
        <v>17</v>
      </c>
      <c r="G42" t="s">
        <v>49</v>
      </c>
      <c r="H42" t="s">
        <v>51</v>
      </c>
      <c r="I42" s="3">
        <v>22356</v>
      </c>
      <c r="J42" s="4">
        <v>1</v>
      </c>
      <c r="K42" s="2">
        <v>3090.63</v>
      </c>
    </row>
    <row r="43" spans="1:11" x14ac:dyDescent="0.3">
      <c r="A43" s="1">
        <v>44331</v>
      </c>
      <c r="B43" s="4">
        <f t="shared" si="0"/>
        <v>2021</v>
      </c>
      <c r="C43" s="4">
        <f t="shared" si="1"/>
        <v>5</v>
      </c>
      <c r="D43" t="s">
        <v>45</v>
      </c>
      <c r="E43" t="s">
        <v>21</v>
      </c>
      <c r="F43" t="s">
        <v>11</v>
      </c>
      <c r="G43" t="s">
        <v>12</v>
      </c>
      <c r="H43" t="s">
        <v>13</v>
      </c>
      <c r="I43" s="3">
        <v>21806</v>
      </c>
      <c r="J43" s="4">
        <v>2</v>
      </c>
      <c r="K43" s="2">
        <v>2915.34</v>
      </c>
    </row>
    <row r="44" spans="1:11" x14ac:dyDescent="0.3">
      <c r="A44" s="1">
        <v>44338</v>
      </c>
      <c r="B44" s="4">
        <f t="shared" si="0"/>
        <v>2021</v>
      </c>
      <c r="C44" s="4">
        <f t="shared" si="1"/>
        <v>5</v>
      </c>
      <c r="D44" t="s">
        <v>42</v>
      </c>
      <c r="E44" t="s">
        <v>10</v>
      </c>
      <c r="F44" t="s">
        <v>17</v>
      </c>
      <c r="G44" t="s">
        <v>26</v>
      </c>
      <c r="H44" t="s">
        <v>27</v>
      </c>
      <c r="I44" s="3">
        <v>50046</v>
      </c>
      <c r="J44" s="4">
        <v>9</v>
      </c>
      <c r="K44" s="2">
        <v>8251.34</v>
      </c>
    </row>
    <row r="45" spans="1:11" x14ac:dyDescent="0.3">
      <c r="A45" s="1">
        <v>44349</v>
      </c>
      <c r="B45" s="4">
        <f t="shared" si="0"/>
        <v>2021</v>
      </c>
      <c r="C45" s="4">
        <f t="shared" si="1"/>
        <v>6</v>
      </c>
      <c r="D45" t="s">
        <v>45</v>
      </c>
      <c r="E45" t="s">
        <v>31</v>
      </c>
      <c r="F45" t="s">
        <v>17</v>
      </c>
      <c r="G45" t="s">
        <v>18</v>
      </c>
      <c r="H45" t="s">
        <v>19</v>
      </c>
      <c r="I45" s="3">
        <v>53808</v>
      </c>
      <c r="J45" s="4">
        <v>1</v>
      </c>
      <c r="K45" s="2">
        <v>8859.5300000000007</v>
      </c>
    </row>
    <row r="46" spans="1:11" x14ac:dyDescent="0.3">
      <c r="A46" s="1">
        <v>44350</v>
      </c>
      <c r="B46" s="4">
        <f t="shared" si="0"/>
        <v>2021</v>
      </c>
      <c r="C46" s="4">
        <f t="shared" si="1"/>
        <v>6</v>
      </c>
      <c r="D46" t="s">
        <v>34</v>
      </c>
      <c r="E46" t="s">
        <v>21</v>
      </c>
      <c r="F46" t="s">
        <v>22</v>
      </c>
      <c r="G46" t="s">
        <v>40</v>
      </c>
      <c r="H46" t="s">
        <v>41</v>
      </c>
      <c r="I46" s="3">
        <v>49445</v>
      </c>
      <c r="J46" s="4">
        <v>8</v>
      </c>
      <c r="K46" s="2">
        <v>4850.3100000000004</v>
      </c>
    </row>
    <row r="47" spans="1:11" x14ac:dyDescent="0.3">
      <c r="A47" s="1">
        <v>44351</v>
      </c>
      <c r="B47" s="4">
        <f t="shared" si="0"/>
        <v>2021</v>
      </c>
      <c r="C47" s="4">
        <f t="shared" si="1"/>
        <v>6</v>
      </c>
      <c r="D47" t="s">
        <v>45</v>
      </c>
      <c r="E47" t="s">
        <v>15</v>
      </c>
      <c r="F47" t="s">
        <v>22</v>
      </c>
      <c r="G47" t="s">
        <v>23</v>
      </c>
      <c r="H47" t="s">
        <v>60</v>
      </c>
      <c r="I47" s="3">
        <v>9424</v>
      </c>
      <c r="J47" s="4">
        <v>4</v>
      </c>
      <c r="K47" s="2">
        <v>1687.09</v>
      </c>
    </row>
    <row r="48" spans="1:11" x14ac:dyDescent="0.3">
      <c r="A48" s="1">
        <v>44352</v>
      </c>
      <c r="B48" s="4">
        <f t="shared" si="0"/>
        <v>2021</v>
      </c>
      <c r="C48" s="4">
        <f t="shared" si="1"/>
        <v>6</v>
      </c>
      <c r="D48" t="s">
        <v>28</v>
      </c>
      <c r="E48" t="s">
        <v>46</v>
      </c>
      <c r="F48" t="s">
        <v>17</v>
      </c>
      <c r="G48" t="s">
        <v>35</v>
      </c>
      <c r="H48" t="s">
        <v>36</v>
      </c>
      <c r="I48" s="3">
        <v>22521</v>
      </c>
      <c r="J48" s="4">
        <v>10</v>
      </c>
      <c r="K48" s="2">
        <v>3723.87</v>
      </c>
    </row>
    <row r="49" spans="1:11" x14ac:dyDescent="0.3">
      <c r="A49" s="1">
        <v>44356</v>
      </c>
      <c r="B49" s="4">
        <f t="shared" si="0"/>
        <v>2021</v>
      </c>
      <c r="C49" s="4">
        <f t="shared" si="1"/>
        <v>6</v>
      </c>
      <c r="D49" t="s">
        <v>14</v>
      </c>
      <c r="E49" t="s">
        <v>15</v>
      </c>
      <c r="F49" t="s">
        <v>11</v>
      </c>
      <c r="G49" t="s">
        <v>53</v>
      </c>
      <c r="H49" t="s">
        <v>54</v>
      </c>
      <c r="I49" s="3">
        <v>37173</v>
      </c>
      <c r="J49" s="4">
        <v>2</v>
      </c>
      <c r="K49" s="2">
        <v>2203.0100000000002</v>
      </c>
    </row>
    <row r="50" spans="1:11" x14ac:dyDescent="0.3">
      <c r="A50" s="1">
        <v>44361</v>
      </c>
      <c r="B50" s="4">
        <f t="shared" si="0"/>
        <v>2021</v>
      </c>
      <c r="C50" s="4">
        <f t="shared" si="1"/>
        <v>6</v>
      </c>
      <c r="D50" t="s">
        <v>34</v>
      </c>
      <c r="E50" t="s">
        <v>15</v>
      </c>
      <c r="F50" t="s">
        <v>11</v>
      </c>
      <c r="G50" t="s">
        <v>53</v>
      </c>
      <c r="H50" t="s">
        <v>54</v>
      </c>
      <c r="I50" s="3">
        <v>39392</v>
      </c>
      <c r="J50" s="4">
        <v>1</v>
      </c>
      <c r="K50" s="2">
        <v>7225.02</v>
      </c>
    </row>
    <row r="51" spans="1:11" x14ac:dyDescent="0.3">
      <c r="A51" s="1">
        <v>44362</v>
      </c>
      <c r="B51" s="4">
        <f t="shared" si="0"/>
        <v>2021</v>
      </c>
      <c r="C51" s="4">
        <f t="shared" si="1"/>
        <v>6</v>
      </c>
      <c r="D51" t="s">
        <v>42</v>
      </c>
      <c r="E51" t="s">
        <v>21</v>
      </c>
      <c r="F51" t="s">
        <v>17</v>
      </c>
      <c r="G51" t="s">
        <v>47</v>
      </c>
      <c r="H51" t="s">
        <v>48</v>
      </c>
      <c r="I51" s="3">
        <v>32154</v>
      </c>
      <c r="J51" s="4">
        <v>6</v>
      </c>
      <c r="K51" s="2">
        <v>4651.2299999999996</v>
      </c>
    </row>
    <row r="52" spans="1:11" x14ac:dyDescent="0.3">
      <c r="A52" s="1">
        <v>44366</v>
      </c>
      <c r="B52" s="4">
        <f t="shared" si="0"/>
        <v>2021</v>
      </c>
      <c r="C52" s="4">
        <f t="shared" si="1"/>
        <v>6</v>
      </c>
      <c r="D52" t="s">
        <v>34</v>
      </c>
      <c r="E52" t="s">
        <v>15</v>
      </c>
      <c r="F52" t="s">
        <v>11</v>
      </c>
      <c r="G52" t="s">
        <v>12</v>
      </c>
      <c r="H52" t="s">
        <v>13</v>
      </c>
      <c r="I52" s="3">
        <v>32958</v>
      </c>
      <c r="J52" s="4">
        <v>7</v>
      </c>
      <c r="K52" s="2">
        <v>4836.13</v>
      </c>
    </row>
    <row r="53" spans="1:11" x14ac:dyDescent="0.3">
      <c r="A53" s="1">
        <v>44370</v>
      </c>
      <c r="B53" s="4">
        <f t="shared" si="0"/>
        <v>2021</v>
      </c>
      <c r="C53" s="4">
        <f t="shared" si="1"/>
        <v>6</v>
      </c>
      <c r="D53" t="s">
        <v>45</v>
      </c>
      <c r="E53" t="s">
        <v>39</v>
      </c>
      <c r="F53" t="s">
        <v>11</v>
      </c>
      <c r="G53" t="s">
        <v>37</v>
      </c>
      <c r="H53" t="s">
        <v>38</v>
      </c>
      <c r="I53" s="3">
        <v>38261</v>
      </c>
      <c r="J53" s="4">
        <v>2</v>
      </c>
      <c r="K53" s="2">
        <v>4813.78</v>
      </c>
    </row>
    <row r="54" spans="1:11" x14ac:dyDescent="0.3">
      <c r="A54" s="1">
        <v>44371</v>
      </c>
      <c r="B54" s="4">
        <f t="shared" si="0"/>
        <v>2021</v>
      </c>
      <c r="C54" s="4">
        <f t="shared" si="1"/>
        <v>6</v>
      </c>
      <c r="D54" t="s">
        <v>45</v>
      </c>
      <c r="E54" t="s">
        <v>15</v>
      </c>
      <c r="F54" t="s">
        <v>17</v>
      </c>
      <c r="G54" t="s">
        <v>18</v>
      </c>
      <c r="H54" t="s">
        <v>19</v>
      </c>
      <c r="I54" s="3">
        <v>16465</v>
      </c>
      <c r="J54" s="4">
        <v>2</v>
      </c>
      <c r="K54" s="2">
        <v>2201.5500000000002</v>
      </c>
    </row>
    <row r="55" spans="1:11" x14ac:dyDescent="0.3">
      <c r="A55" s="1">
        <v>44371</v>
      </c>
      <c r="B55" s="4">
        <f t="shared" si="0"/>
        <v>2021</v>
      </c>
      <c r="C55" s="4">
        <f t="shared" si="1"/>
        <v>6</v>
      </c>
      <c r="D55" t="s">
        <v>34</v>
      </c>
      <c r="E55" t="s">
        <v>31</v>
      </c>
      <c r="F55" t="s">
        <v>22</v>
      </c>
      <c r="G55" t="s">
        <v>23</v>
      </c>
      <c r="H55" t="s">
        <v>24</v>
      </c>
      <c r="I55" s="3">
        <v>6309</v>
      </c>
      <c r="J55" s="4">
        <v>7</v>
      </c>
      <c r="K55" s="2">
        <v>406.83</v>
      </c>
    </row>
    <row r="56" spans="1:11" x14ac:dyDescent="0.3">
      <c r="A56" s="1">
        <v>44372</v>
      </c>
      <c r="B56" s="4">
        <f t="shared" si="0"/>
        <v>2021</v>
      </c>
      <c r="C56" s="4">
        <f t="shared" si="1"/>
        <v>6</v>
      </c>
      <c r="D56" t="s">
        <v>20</v>
      </c>
      <c r="E56" t="s">
        <v>10</v>
      </c>
      <c r="F56" t="s">
        <v>17</v>
      </c>
      <c r="G56" t="s">
        <v>18</v>
      </c>
      <c r="H56" t="s">
        <v>19</v>
      </c>
      <c r="I56" s="3">
        <v>50804</v>
      </c>
      <c r="J56" s="4">
        <v>10</v>
      </c>
      <c r="K56" s="2">
        <v>4791.17</v>
      </c>
    </row>
    <row r="57" spans="1:11" x14ac:dyDescent="0.3">
      <c r="A57" s="1">
        <v>44375</v>
      </c>
      <c r="B57" s="4">
        <f t="shared" si="0"/>
        <v>2021</v>
      </c>
      <c r="C57" s="4">
        <f t="shared" si="1"/>
        <v>6</v>
      </c>
      <c r="D57" t="s">
        <v>34</v>
      </c>
      <c r="E57" t="s">
        <v>21</v>
      </c>
      <c r="F57" t="s">
        <v>22</v>
      </c>
      <c r="G57" t="s">
        <v>55</v>
      </c>
      <c r="H57" t="s">
        <v>56</v>
      </c>
      <c r="I57" s="3">
        <v>25634</v>
      </c>
      <c r="J57" s="4">
        <v>9</v>
      </c>
      <c r="K57" s="2">
        <v>2809.57</v>
      </c>
    </row>
    <row r="58" spans="1:11" x14ac:dyDescent="0.3">
      <c r="A58" s="1">
        <v>44376</v>
      </c>
      <c r="B58" s="4">
        <f t="shared" si="0"/>
        <v>2021</v>
      </c>
      <c r="C58" s="4">
        <f t="shared" si="1"/>
        <v>6</v>
      </c>
      <c r="D58" t="s">
        <v>9</v>
      </c>
      <c r="E58" t="s">
        <v>15</v>
      </c>
      <c r="F58" t="s">
        <v>22</v>
      </c>
      <c r="G58" t="s">
        <v>43</v>
      </c>
      <c r="H58" t="s">
        <v>44</v>
      </c>
      <c r="I58" s="3">
        <v>53317</v>
      </c>
      <c r="J58" s="4">
        <v>6</v>
      </c>
      <c r="K58" s="2">
        <v>8006.93</v>
      </c>
    </row>
    <row r="59" spans="1:11" x14ac:dyDescent="0.3">
      <c r="A59" s="1">
        <v>44377</v>
      </c>
      <c r="B59" s="4">
        <f t="shared" si="0"/>
        <v>2021</v>
      </c>
      <c r="C59" s="4">
        <f t="shared" si="1"/>
        <v>6</v>
      </c>
      <c r="D59" t="s">
        <v>9</v>
      </c>
      <c r="E59" t="s">
        <v>46</v>
      </c>
      <c r="F59" t="s">
        <v>22</v>
      </c>
      <c r="G59" t="s">
        <v>40</v>
      </c>
      <c r="H59" t="s">
        <v>41</v>
      </c>
      <c r="I59" s="3">
        <v>56337</v>
      </c>
      <c r="J59" s="4">
        <v>8</v>
      </c>
      <c r="K59" s="2">
        <v>6594.82</v>
      </c>
    </row>
    <row r="60" spans="1:11" x14ac:dyDescent="0.3">
      <c r="A60" s="1">
        <v>44383</v>
      </c>
      <c r="B60" s="4">
        <f t="shared" si="0"/>
        <v>2021</v>
      </c>
      <c r="C60" s="4">
        <f t="shared" si="1"/>
        <v>7</v>
      </c>
      <c r="D60" t="s">
        <v>34</v>
      </c>
      <c r="E60" t="s">
        <v>10</v>
      </c>
      <c r="F60" t="s">
        <v>11</v>
      </c>
      <c r="G60" t="s">
        <v>53</v>
      </c>
      <c r="H60" t="s">
        <v>54</v>
      </c>
      <c r="I60" s="3">
        <v>31002</v>
      </c>
      <c r="J60" s="4">
        <v>6</v>
      </c>
      <c r="K60" s="2">
        <v>3449.04</v>
      </c>
    </row>
    <row r="61" spans="1:11" x14ac:dyDescent="0.3">
      <c r="A61" s="1">
        <v>44387</v>
      </c>
      <c r="B61" s="4">
        <f t="shared" si="0"/>
        <v>2021</v>
      </c>
      <c r="C61" s="4">
        <f t="shared" si="1"/>
        <v>7</v>
      </c>
      <c r="D61" t="s">
        <v>9</v>
      </c>
      <c r="E61" t="s">
        <v>10</v>
      </c>
      <c r="F61" t="s">
        <v>11</v>
      </c>
      <c r="G61" t="s">
        <v>12</v>
      </c>
      <c r="H61" t="s">
        <v>13</v>
      </c>
      <c r="I61" s="3">
        <v>14925</v>
      </c>
      <c r="J61" s="4">
        <v>2</v>
      </c>
      <c r="K61" s="2">
        <v>1779.32</v>
      </c>
    </row>
    <row r="62" spans="1:11" x14ac:dyDescent="0.3">
      <c r="A62" s="1">
        <v>44387</v>
      </c>
      <c r="B62" s="4">
        <f t="shared" si="0"/>
        <v>2021</v>
      </c>
      <c r="C62" s="4">
        <f t="shared" si="1"/>
        <v>7</v>
      </c>
      <c r="D62" t="s">
        <v>14</v>
      </c>
      <c r="E62" t="s">
        <v>46</v>
      </c>
      <c r="F62" t="s">
        <v>17</v>
      </c>
      <c r="G62" t="s">
        <v>49</v>
      </c>
      <c r="H62" t="s">
        <v>50</v>
      </c>
      <c r="I62" s="3">
        <v>3077</v>
      </c>
      <c r="J62" s="4">
        <v>4</v>
      </c>
      <c r="K62" s="2">
        <v>567.99</v>
      </c>
    </row>
    <row r="63" spans="1:11" x14ac:dyDescent="0.3">
      <c r="A63" s="1">
        <v>44388</v>
      </c>
      <c r="B63" s="4">
        <f t="shared" si="0"/>
        <v>2021</v>
      </c>
      <c r="C63" s="4">
        <f t="shared" si="1"/>
        <v>7</v>
      </c>
      <c r="D63" t="s">
        <v>16</v>
      </c>
      <c r="E63" t="s">
        <v>46</v>
      </c>
      <c r="F63" t="s">
        <v>17</v>
      </c>
      <c r="G63" t="s">
        <v>18</v>
      </c>
      <c r="H63" t="s">
        <v>19</v>
      </c>
      <c r="I63" s="3">
        <v>49585</v>
      </c>
      <c r="J63" s="4">
        <v>4</v>
      </c>
      <c r="K63" s="2">
        <v>3716.23</v>
      </c>
    </row>
    <row r="64" spans="1:11" x14ac:dyDescent="0.3">
      <c r="A64" s="1">
        <v>44388</v>
      </c>
      <c r="B64" s="4">
        <f t="shared" si="0"/>
        <v>2021</v>
      </c>
      <c r="C64" s="4">
        <f t="shared" si="1"/>
        <v>7</v>
      </c>
      <c r="D64" t="s">
        <v>20</v>
      </c>
      <c r="E64" t="s">
        <v>31</v>
      </c>
      <c r="F64" t="s">
        <v>17</v>
      </c>
      <c r="G64" t="s">
        <v>47</v>
      </c>
      <c r="H64" t="s">
        <v>48</v>
      </c>
      <c r="I64" s="3">
        <v>53836</v>
      </c>
      <c r="J64" s="4">
        <v>4</v>
      </c>
      <c r="K64" s="2">
        <v>8124.89</v>
      </c>
    </row>
    <row r="65" spans="1:11" x14ac:dyDescent="0.3">
      <c r="A65" s="1">
        <v>44388</v>
      </c>
      <c r="B65" s="4">
        <f t="shared" si="0"/>
        <v>2021</v>
      </c>
      <c r="C65" s="4">
        <f t="shared" si="1"/>
        <v>7</v>
      </c>
      <c r="D65" t="s">
        <v>16</v>
      </c>
      <c r="E65" t="s">
        <v>39</v>
      </c>
      <c r="F65" t="s">
        <v>11</v>
      </c>
      <c r="G65" t="s">
        <v>12</v>
      </c>
      <c r="H65" t="s">
        <v>13</v>
      </c>
      <c r="I65" s="3">
        <v>26760</v>
      </c>
      <c r="J65" s="4">
        <v>7</v>
      </c>
      <c r="K65" s="2">
        <v>2851.96</v>
      </c>
    </row>
    <row r="66" spans="1:11" x14ac:dyDescent="0.3">
      <c r="A66" s="1">
        <v>44390</v>
      </c>
      <c r="B66" s="4">
        <f t="shared" ref="B66:B129" si="2">YEAR(A66)</f>
        <v>2021</v>
      </c>
      <c r="C66" s="4">
        <f t="shared" ref="C66:C129" si="3">MONTH(A66)</f>
        <v>7</v>
      </c>
      <c r="D66" t="s">
        <v>42</v>
      </c>
      <c r="E66" t="s">
        <v>39</v>
      </c>
      <c r="F66" t="s">
        <v>22</v>
      </c>
      <c r="G66" t="s">
        <v>40</v>
      </c>
      <c r="H66" t="s">
        <v>41</v>
      </c>
      <c r="I66" s="3">
        <v>30480</v>
      </c>
      <c r="J66" s="4">
        <v>2</v>
      </c>
      <c r="K66" s="2">
        <v>5199.42</v>
      </c>
    </row>
    <row r="67" spans="1:11" x14ac:dyDescent="0.3">
      <c r="A67" s="1">
        <v>44395</v>
      </c>
      <c r="B67" s="4">
        <f t="shared" si="2"/>
        <v>2021</v>
      </c>
      <c r="C67" s="4">
        <f t="shared" si="3"/>
        <v>7</v>
      </c>
      <c r="D67" t="s">
        <v>25</v>
      </c>
      <c r="E67" t="s">
        <v>10</v>
      </c>
      <c r="F67" t="s">
        <v>17</v>
      </c>
      <c r="G67" t="s">
        <v>26</v>
      </c>
      <c r="H67" t="s">
        <v>27</v>
      </c>
      <c r="I67" s="3">
        <v>23726</v>
      </c>
      <c r="J67" s="4">
        <v>6</v>
      </c>
      <c r="K67" s="2">
        <v>3334.9</v>
      </c>
    </row>
    <row r="68" spans="1:11" x14ac:dyDescent="0.3">
      <c r="A68" s="1">
        <v>44396</v>
      </c>
      <c r="B68" s="4">
        <f t="shared" si="2"/>
        <v>2021</v>
      </c>
      <c r="C68" s="4">
        <f t="shared" si="3"/>
        <v>7</v>
      </c>
      <c r="D68" t="s">
        <v>14</v>
      </c>
      <c r="E68" t="s">
        <v>31</v>
      </c>
      <c r="F68" t="s">
        <v>11</v>
      </c>
      <c r="G68" t="s">
        <v>32</v>
      </c>
      <c r="H68" t="s">
        <v>33</v>
      </c>
      <c r="I68" s="3">
        <v>31053</v>
      </c>
      <c r="J68" s="4">
        <v>3</v>
      </c>
      <c r="K68" s="2">
        <v>5003.8100000000004</v>
      </c>
    </row>
    <row r="69" spans="1:11" x14ac:dyDescent="0.3">
      <c r="A69" s="1">
        <v>44398</v>
      </c>
      <c r="B69" s="4">
        <f t="shared" si="2"/>
        <v>2021</v>
      </c>
      <c r="C69" s="4">
        <f t="shared" si="3"/>
        <v>7</v>
      </c>
      <c r="D69" t="s">
        <v>57</v>
      </c>
      <c r="E69" t="s">
        <v>39</v>
      </c>
      <c r="F69" t="s">
        <v>11</v>
      </c>
      <c r="G69" t="s">
        <v>12</v>
      </c>
      <c r="H69" t="s">
        <v>13</v>
      </c>
      <c r="I69" s="3">
        <v>50031</v>
      </c>
      <c r="J69" s="4">
        <v>2</v>
      </c>
      <c r="K69" s="2">
        <v>5831.2</v>
      </c>
    </row>
    <row r="70" spans="1:11" x14ac:dyDescent="0.3">
      <c r="A70" s="1">
        <v>44398</v>
      </c>
      <c r="B70" s="4">
        <f t="shared" si="2"/>
        <v>2021</v>
      </c>
      <c r="C70" s="4">
        <f t="shared" si="3"/>
        <v>7</v>
      </c>
      <c r="D70" t="s">
        <v>14</v>
      </c>
      <c r="E70" t="s">
        <v>15</v>
      </c>
      <c r="F70" t="s">
        <v>22</v>
      </c>
      <c r="G70" t="s">
        <v>23</v>
      </c>
      <c r="H70" t="s">
        <v>24</v>
      </c>
      <c r="I70" s="3">
        <v>17156</v>
      </c>
      <c r="J70" s="4">
        <v>4</v>
      </c>
      <c r="K70" s="2">
        <v>2171.9699999999998</v>
      </c>
    </row>
    <row r="71" spans="1:11" x14ac:dyDescent="0.3">
      <c r="A71" s="1">
        <v>44400</v>
      </c>
      <c r="B71" s="4">
        <f t="shared" si="2"/>
        <v>2021</v>
      </c>
      <c r="C71" s="4">
        <f t="shared" si="3"/>
        <v>7</v>
      </c>
      <c r="D71" t="s">
        <v>42</v>
      </c>
      <c r="E71" t="s">
        <v>46</v>
      </c>
      <c r="F71" t="s">
        <v>11</v>
      </c>
      <c r="G71" t="s">
        <v>12</v>
      </c>
      <c r="H71" t="s">
        <v>13</v>
      </c>
      <c r="I71" s="3">
        <v>41237</v>
      </c>
      <c r="J71" s="4">
        <v>8</v>
      </c>
      <c r="K71" s="2">
        <v>2162.56</v>
      </c>
    </row>
    <row r="72" spans="1:11" x14ac:dyDescent="0.3">
      <c r="A72" s="1">
        <v>44401</v>
      </c>
      <c r="B72" s="4">
        <f t="shared" si="2"/>
        <v>2021</v>
      </c>
      <c r="C72" s="4">
        <f t="shared" si="3"/>
        <v>7</v>
      </c>
      <c r="D72" t="s">
        <v>57</v>
      </c>
      <c r="E72" t="s">
        <v>21</v>
      </c>
      <c r="F72" t="s">
        <v>22</v>
      </c>
      <c r="G72" t="s">
        <v>40</v>
      </c>
      <c r="H72" t="s">
        <v>41</v>
      </c>
      <c r="I72" s="3">
        <v>53492</v>
      </c>
      <c r="J72" s="4">
        <v>3</v>
      </c>
      <c r="K72" s="2">
        <v>9688.5300000000007</v>
      </c>
    </row>
    <row r="73" spans="1:11" x14ac:dyDescent="0.3">
      <c r="A73" s="1">
        <v>44402</v>
      </c>
      <c r="B73" s="4">
        <f t="shared" si="2"/>
        <v>2021</v>
      </c>
      <c r="C73" s="4">
        <f t="shared" si="3"/>
        <v>7</v>
      </c>
      <c r="D73" t="s">
        <v>16</v>
      </c>
      <c r="E73" t="s">
        <v>39</v>
      </c>
      <c r="F73" t="s">
        <v>17</v>
      </c>
      <c r="G73" t="s">
        <v>49</v>
      </c>
      <c r="H73" t="s">
        <v>50</v>
      </c>
      <c r="I73" s="3">
        <v>57490</v>
      </c>
      <c r="J73" s="4">
        <v>8</v>
      </c>
      <c r="K73" s="2">
        <v>3734.36</v>
      </c>
    </row>
    <row r="74" spans="1:11" x14ac:dyDescent="0.3">
      <c r="A74" s="1">
        <v>44404</v>
      </c>
      <c r="B74" s="4">
        <f t="shared" si="2"/>
        <v>2021</v>
      </c>
      <c r="C74" s="4">
        <f t="shared" si="3"/>
        <v>7</v>
      </c>
      <c r="D74" t="s">
        <v>45</v>
      </c>
      <c r="E74" t="s">
        <v>10</v>
      </c>
      <c r="F74" t="s">
        <v>22</v>
      </c>
      <c r="G74" t="s">
        <v>43</v>
      </c>
      <c r="H74" t="s">
        <v>59</v>
      </c>
      <c r="I74" s="3">
        <v>21898</v>
      </c>
      <c r="J74" s="4">
        <v>4</v>
      </c>
      <c r="K74" s="2">
        <v>4295.51</v>
      </c>
    </row>
    <row r="75" spans="1:11" x14ac:dyDescent="0.3">
      <c r="A75" s="1">
        <v>44404</v>
      </c>
      <c r="B75" s="4">
        <f t="shared" si="2"/>
        <v>2021</v>
      </c>
      <c r="C75" s="4">
        <f t="shared" si="3"/>
        <v>7</v>
      </c>
      <c r="D75" t="s">
        <v>16</v>
      </c>
      <c r="E75" t="s">
        <v>21</v>
      </c>
      <c r="F75" t="s">
        <v>17</v>
      </c>
      <c r="G75" t="s">
        <v>18</v>
      </c>
      <c r="H75" t="s">
        <v>19</v>
      </c>
      <c r="I75" s="3">
        <v>59495</v>
      </c>
      <c r="J75" s="4">
        <v>5</v>
      </c>
      <c r="K75" s="2">
        <v>8724.9699999999993</v>
      </c>
    </row>
    <row r="76" spans="1:11" x14ac:dyDescent="0.3">
      <c r="A76" s="1">
        <v>44409</v>
      </c>
      <c r="B76" s="4">
        <f t="shared" si="2"/>
        <v>2021</v>
      </c>
      <c r="C76" s="4">
        <f t="shared" si="3"/>
        <v>8</v>
      </c>
      <c r="D76" t="s">
        <v>45</v>
      </c>
      <c r="E76" t="s">
        <v>46</v>
      </c>
      <c r="F76" t="s">
        <v>17</v>
      </c>
      <c r="G76" t="s">
        <v>35</v>
      </c>
      <c r="H76" t="s">
        <v>36</v>
      </c>
      <c r="I76" s="3">
        <v>13647</v>
      </c>
      <c r="J76" s="4">
        <v>9</v>
      </c>
      <c r="K76" s="2">
        <v>2694.84</v>
      </c>
    </row>
    <row r="77" spans="1:11" x14ac:dyDescent="0.3">
      <c r="A77" s="1">
        <v>44411</v>
      </c>
      <c r="B77" s="4">
        <f t="shared" si="2"/>
        <v>2021</v>
      </c>
      <c r="C77" s="4">
        <f t="shared" si="3"/>
        <v>8</v>
      </c>
      <c r="D77" t="s">
        <v>9</v>
      </c>
      <c r="E77" t="s">
        <v>39</v>
      </c>
      <c r="F77" t="s">
        <v>11</v>
      </c>
      <c r="G77" t="s">
        <v>32</v>
      </c>
      <c r="H77" t="s">
        <v>33</v>
      </c>
      <c r="I77" s="3">
        <v>33727</v>
      </c>
      <c r="J77" s="4">
        <v>10</v>
      </c>
      <c r="K77" s="2">
        <v>2281.98</v>
      </c>
    </row>
    <row r="78" spans="1:11" x14ac:dyDescent="0.3">
      <c r="A78" s="1">
        <v>44413</v>
      </c>
      <c r="B78" s="4">
        <f t="shared" si="2"/>
        <v>2021</v>
      </c>
      <c r="C78" s="4">
        <f t="shared" si="3"/>
        <v>8</v>
      </c>
      <c r="D78" t="s">
        <v>45</v>
      </c>
      <c r="E78" t="s">
        <v>39</v>
      </c>
      <c r="F78" t="s">
        <v>11</v>
      </c>
      <c r="G78" t="s">
        <v>12</v>
      </c>
      <c r="H78" t="s">
        <v>13</v>
      </c>
      <c r="I78" s="3">
        <v>10972</v>
      </c>
      <c r="J78" s="4">
        <v>8</v>
      </c>
      <c r="K78" s="2">
        <v>1315.63</v>
      </c>
    </row>
    <row r="79" spans="1:11" x14ac:dyDescent="0.3">
      <c r="A79" s="1">
        <v>44421</v>
      </c>
      <c r="B79" s="4">
        <f t="shared" si="2"/>
        <v>2021</v>
      </c>
      <c r="C79" s="4">
        <f t="shared" si="3"/>
        <v>8</v>
      </c>
      <c r="D79" t="s">
        <v>45</v>
      </c>
      <c r="E79" t="s">
        <v>15</v>
      </c>
      <c r="F79" t="s">
        <v>22</v>
      </c>
      <c r="G79" t="s">
        <v>23</v>
      </c>
      <c r="H79" t="s">
        <v>24</v>
      </c>
      <c r="I79" s="3">
        <v>10216</v>
      </c>
      <c r="J79" s="4">
        <v>3</v>
      </c>
      <c r="K79" s="2">
        <v>1724.58</v>
      </c>
    </row>
    <row r="80" spans="1:11" x14ac:dyDescent="0.3">
      <c r="A80" s="1">
        <v>44424</v>
      </c>
      <c r="B80" s="4">
        <f t="shared" si="2"/>
        <v>2021</v>
      </c>
      <c r="C80" s="4">
        <f t="shared" si="3"/>
        <v>8</v>
      </c>
      <c r="D80" t="s">
        <v>25</v>
      </c>
      <c r="E80" t="s">
        <v>10</v>
      </c>
      <c r="F80" t="s">
        <v>11</v>
      </c>
      <c r="G80" t="s">
        <v>53</v>
      </c>
      <c r="H80" t="s">
        <v>54</v>
      </c>
      <c r="I80" s="3">
        <v>55033</v>
      </c>
      <c r="J80" s="4">
        <v>8</v>
      </c>
      <c r="K80" s="2">
        <v>7677.7</v>
      </c>
    </row>
    <row r="81" spans="1:11" x14ac:dyDescent="0.3">
      <c r="A81" s="1">
        <v>44426</v>
      </c>
      <c r="B81" s="4">
        <f t="shared" si="2"/>
        <v>2021</v>
      </c>
      <c r="C81" s="4">
        <f t="shared" si="3"/>
        <v>8</v>
      </c>
      <c r="D81" t="s">
        <v>34</v>
      </c>
      <c r="E81" t="s">
        <v>15</v>
      </c>
      <c r="F81" t="s">
        <v>11</v>
      </c>
      <c r="G81" t="s">
        <v>53</v>
      </c>
      <c r="H81" t="s">
        <v>54</v>
      </c>
      <c r="I81" s="3">
        <v>5131</v>
      </c>
      <c r="J81" s="4">
        <v>3</v>
      </c>
      <c r="K81" s="2">
        <v>676.46</v>
      </c>
    </row>
    <row r="82" spans="1:11" x14ac:dyDescent="0.3">
      <c r="A82" s="1">
        <v>44434</v>
      </c>
      <c r="B82" s="4">
        <f t="shared" si="2"/>
        <v>2021</v>
      </c>
      <c r="C82" s="4">
        <f t="shared" si="3"/>
        <v>8</v>
      </c>
      <c r="D82" t="s">
        <v>42</v>
      </c>
      <c r="E82" t="s">
        <v>10</v>
      </c>
      <c r="F82" t="s">
        <v>11</v>
      </c>
      <c r="G82" t="s">
        <v>37</v>
      </c>
      <c r="H82" t="s">
        <v>38</v>
      </c>
      <c r="I82" s="3">
        <v>6425</v>
      </c>
      <c r="J82" s="4">
        <v>1</v>
      </c>
      <c r="K82" s="2">
        <v>330.57</v>
      </c>
    </row>
    <row r="83" spans="1:11" x14ac:dyDescent="0.3">
      <c r="A83" s="1">
        <v>44438</v>
      </c>
      <c r="B83" s="4">
        <f t="shared" si="2"/>
        <v>2021</v>
      </c>
      <c r="C83" s="4">
        <f t="shared" si="3"/>
        <v>8</v>
      </c>
      <c r="D83" t="s">
        <v>34</v>
      </c>
      <c r="E83" t="s">
        <v>10</v>
      </c>
      <c r="F83" t="s">
        <v>11</v>
      </c>
      <c r="G83" t="s">
        <v>32</v>
      </c>
      <c r="H83" t="s">
        <v>33</v>
      </c>
      <c r="I83" s="3">
        <v>15835</v>
      </c>
      <c r="J83" s="4">
        <v>5</v>
      </c>
      <c r="K83" s="2">
        <v>1069.53</v>
      </c>
    </row>
    <row r="84" spans="1:11" x14ac:dyDescent="0.3">
      <c r="A84" s="1">
        <v>44438</v>
      </c>
      <c r="B84" s="4">
        <f t="shared" si="2"/>
        <v>2021</v>
      </c>
      <c r="C84" s="4">
        <f t="shared" si="3"/>
        <v>8</v>
      </c>
      <c r="D84" t="s">
        <v>45</v>
      </c>
      <c r="E84" t="s">
        <v>21</v>
      </c>
      <c r="F84" t="s">
        <v>22</v>
      </c>
      <c r="G84" t="s">
        <v>43</v>
      </c>
      <c r="H84" t="s">
        <v>44</v>
      </c>
      <c r="I84" s="3">
        <v>50756</v>
      </c>
      <c r="J84" s="4">
        <v>1</v>
      </c>
      <c r="K84" s="2">
        <v>5088.37</v>
      </c>
    </row>
    <row r="85" spans="1:11" x14ac:dyDescent="0.3">
      <c r="A85" s="1">
        <v>44441</v>
      </c>
      <c r="B85" s="4">
        <f t="shared" si="2"/>
        <v>2021</v>
      </c>
      <c r="C85" s="4">
        <f t="shared" si="3"/>
        <v>9</v>
      </c>
      <c r="D85" t="s">
        <v>14</v>
      </c>
      <c r="E85" t="s">
        <v>39</v>
      </c>
      <c r="F85" t="s">
        <v>17</v>
      </c>
      <c r="G85" t="s">
        <v>18</v>
      </c>
      <c r="H85" t="s">
        <v>19</v>
      </c>
      <c r="I85" s="3">
        <v>33101</v>
      </c>
      <c r="J85" s="4">
        <v>1</v>
      </c>
      <c r="K85" s="2">
        <v>2545.52</v>
      </c>
    </row>
    <row r="86" spans="1:11" x14ac:dyDescent="0.3">
      <c r="A86" s="1">
        <v>44443</v>
      </c>
      <c r="B86" s="4">
        <f t="shared" si="2"/>
        <v>2021</v>
      </c>
      <c r="C86" s="4">
        <f t="shared" si="3"/>
        <v>9</v>
      </c>
      <c r="D86" t="s">
        <v>42</v>
      </c>
      <c r="E86" t="s">
        <v>31</v>
      </c>
      <c r="F86" t="s">
        <v>11</v>
      </c>
      <c r="G86" t="s">
        <v>12</v>
      </c>
      <c r="H86" t="s">
        <v>13</v>
      </c>
      <c r="I86" s="3">
        <v>49823</v>
      </c>
      <c r="J86" s="4">
        <v>8</v>
      </c>
      <c r="K86" s="2">
        <v>3783.15</v>
      </c>
    </row>
    <row r="87" spans="1:11" x14ac:dyDescent="0.3">
      <c r="A87" s="1">
        <v>44445</v>
      </c>
      <c r="B87" s="4">
        <f t="shared" si="2"/>
        <v>2021</v>
      </c>
      <c r="C87" s="4">
        <f t="shared" si="3"/>
        <v>9</v>
      </c>
      <c r="D87" t="s">
        <v>14</v>
      </c>
      <c r="E87" t="s">
        <v>15</v>
      </c>
      <c r="F87" t="s">
        <v>17</v>
      </c>
      <c r="G87" t="s">
        <v>18</v>
      </c>
      <c r="H87" t="s">
        <v>19</v>
      </c>
      <c r="I87" s="3">
        <v>30114</v>
      </c>
      <c r="J87" s="4">
        <v>3</v>
      </c>
      <c r="K87" s="2">
        <v>5125.78</v>
      </c>
    </row>
    <row r="88" spans="1:11" x14ac:dyDescent="0.3">
      <c r="A88" s="1">
        <v>44449</v>
      </c>
      <c r="B88" s="4">
        <f t="shared" si="2"/>
        <v>2021</v>
      </c>
      <c r="C88" s="4">
        <f t="shared" si="3"/>
        <v>9</v>
      </c>
      <c r="D88" t="s">
        <v>57</v>
      </c>
      <c r="E88" t="s">
        <v>15</v>
      </c>
      <c r="F88" t="s">
        <v>11</v>
      </c>
      <c r="G88" t="s">
        <v>12</v>
      </c>
      <c r="H88" t="s">
        <v>13</v>
      </c>
      <c r="I88" s="3">
        <v>24224</v>
      </c>
      <c r="J88" s="4">
        <v>1</v>
      </c>
      <c r="K88" s="2">
        <v>2574.5</v>
      </c>
    </row>
    <row r="89" spans="1:11" x14ac:dyDescent="0.3">
      <c r="A89" s="1">
        <v>44455</v>
      </c>
      <c r="B89" s="4">
        <f t="shared" si="2"/>
        <v>2021</v>
      </c>
      <c r="C89" s="4">
        <f t="shared" si="3"/>
        <v>9</v>
      </c>
      <c r="D89" t="s">
        <v>14</v>
      </c>
      <c r="E89" t="s">
        <v>10</v>
      </c>
      <c r="F89" t="s">
        <v>11</v>
      </c>
      <c r="G89" t="s">
        <v>32</v>
      </c>
      <c r="H89" t="s">
        <v>33</v>
      </c>
      <c r="I89" s="3">
        <v>18223</v>
      </c>
      <c r="J89" s="4">
        <v>10</v>
      </c>
      <c r="K89" s="2">
        <v>2641.63</v>
      </c>
    </row>
    <row r="90" spans="1:11" x14ac:dyDescent="0.3">
      <c r="A90" s="1">
        <v>44458</v>
      </c>
      <c r="B90" s="4">
        <f t="shared" si="2"/>
        <v>2021</v>
      </c>
      <c r="C90" s="4">
        <f t="shared" si="3"/>
        <v>9</v>
      </c>
      <c r="D90" t="s">
        <v>25</v>
      </c>
      <c r="E90" t="s">
        <v>21</v>
      </c>
      <c r="F90" t="s">
        <v>11</v>
      </c>
      <c r="G90" t="s">
        <v>32</v>
      </c>
      <c r="H90" t="s">
        <v>33</v>
      </c>
      <c r="I90" s="3">
        <v>2941</v>
      </c>
      <c r="J90" s="4">
        <v>5</v>
      </c>
      <c r="K90" s="2">
        <v>307.92</v>
      </c>
    </row>
    <row r="91" spans="1:11" x14ac:dyDescent="0.3">
      <c r="A91" s="1">
        <v>44460</v>
      </c>
      <c r="B91" s="4">
        <f t="shared" si="2"/>
        <v>2021</v>
      </c>
      <c r="C91" s="4">
        <f t="shared" si="3"/>
        <v>9</v>
      </c>
      <c r="D91" t="s">
        <v>34</v>
      </c>
      <c r="E91" t="s">
        <v>15</v>
      </c>
      <c r="F91" t="s">
        <v>22</v>
      </c>
      <c r="G91" t="s">
        <v>29</v>
      </c>
      <c r="H91" t="s">
        <v>30</v>
      </c>
      <c r="I91" s="3">
        <v>6536</v>
      </c>
      <c r="J91" s="4">
        <v>7</v>
      </c>
      <c r="K91" s="2">
        <v>692.68</v>
      </c>
    </row>
    <row r="92" spans="1:11" x14ac:dyDescent="0.3">
      <c r="A92" s="1">
        <v>44462</v>
      </c>
      <c r="B92" s="4">
        <f t="shared" si="2"/>
        <v>2021</v>
      </c>
      <c r="C92" s="4">
        <f t="shared" si="3"/>
        <v>9</v>
      </c>
      <c r="D92" t="s">
        <v>45</v>
      </c>
      <c r="E92" t="s">
        <v>46</v>
      </c>
      <c r="F92" t="s">
        <v>17</v>
      </c>
      <c r="G92" t="s">
        <v>35</v>
      </c>
      <c r="H92" t="s">
        <v>36</v>
      </c>
      <c r="I92" s="3">
        <v>40470</v>
      </c>
      <c r="J92" s="4">
        <v>7</v>
      </c>
      <c r="K92" s="2">
        <v>5869.09</v>
      </c>
    </row>
    <row r="93" spans="1:11" x14ac:dyDescent="0.3">
      <c r="A93" s="1">
        <v>44463</v>
      </c>
      <c r="B93" s="4">
        <f t="shared" si="2"/>
        <v>2021</v>
      </c>
      <c r="C93" s="4">
        <f t="shared" si="3"/>
        <v>9</v>
      </c>
      <c r="D93" t="s">
        <v>9</v>
      </c>
      <c r="E93" t="s">
        <v>10</v>
      </c>
      <c r="F93" t="s">
        <v>17</v>
      </c>
      <c r="G93" t="s">
        <v>47</v>
      </c>
      <c r="H93" t="s">
        <v>48</v>
      </c>
      <c r="I93" s="3">
        <v>35603</v>
      </c>
      <c r="J93" s="4">
        <v>5</v>
      </c>
      <c r="K93" s="2">
        <v>6044.57</v>
      </c>
    </row>
    <row r="94" spans="1:11" x14ac:dyDescent="0.3">
      <c r="A94" s="1">
        <v>44464</v>
      </c>
      <c r="B94" s="4">
        <f t="shared" si="2"/>
        <v>2021</v>
      </c>
      <c r="C94" s="4">
        <f t="shared" si="3"/>
        <v>9</v>
      </c>
      <c r="D94" t="s">
        <v>16</v>
      </c>
      <c r="E94" t="s">
        <v>15</v>
      </c>
      <c r="F94" t="s">
        <v>17</v>
      </c>
      <c r="G94" t="s">
        <v>26</v>
      </c>
      <c r="H94" t="s">
        <v>27</v>
      </c>
      <c r="I94" s="3">
        <v>41953</v>
      </c>
      <c r="J94" s="4">
        <v>5</v>
      </c>
      <c r="K94" s="2">
        <v>3114.48</v>
      </c>
    </row>
    <row r="95" spans="1:11" x14ac:dyDescent="0.3">
      <c r="A95" s="1">
        <v>44464</v>
      </c>
      <c r="B95" s="4">
        <f t="shared" si="2"/>
        <v>2021</v>
      </c>
      <c r="C95" s="4">
        <f t="shared" si="3"/>
        <v>9</v>
      </c>
      <c r="D95" t="s">
        <v>9</v>
      </c>
      <c r="E95" t="s">
        <v>15</v>
      </c>
      <c r="F95" t="s">
        <v>17</v>
      </c>
      <c r="G95" t="s">
        <v>26</v>
      </c>
      <c r="H95" t="s">
        <v>52</v>
      </c>
      <c r="I95" s="3">
        <v>13184</v>
      </c>
      <c r="J95" s="4">
        <v>7</v>
      </c>
      <c r="K95" s="2">
        <v>1395.34</v>
      </c>
    </row>
    <row r="96" spans="1:11" x14ac:dyDescent="0.3">
      <c r="A96" s="1">
        <v>44470</v>
      </c>
      <c r="B96" s="4">
        <f t="shared" si="2"/>
        <v>2021</v>
      </c>
      <c r="C96" s="4">
        <f t="shared" si="3"/>
        <v>10</v>
      </c>
      <c r="D96" t="s">
        <v>28</v>
      </c>
      <c r="E96" t="s">
        <v>21</v>
      </c>
      <c r="F96" t="s">
        <v>11</v>
      </c>
      <c r="G96" t="s">
        <v>32</v>
      </c>
      <c r="H96" t="s">
        <v>33</v>
      </c>
      <c r="I96" s="3">
        <v>31538</v>
      </c>
      <c r="J96" s="4">
        <v>3</v>
      </c>
      <c r="K96" s="2">
        <v>3729.27</v>
      </c>
    </row>
    <row r="97" spans="1:11" x14ac:dyDescent="0.3">
      <c r="A97" s="1">
        <v>44471</v>
      </c>
      <c r="B97" s="4">
        <f t="shared" si="2"/>
        <v>2021</v>
      </c>
      <c r="C97" s="4">
        <f t="shared" si="3"/>
        <v>10</v>
      </c>
      <c r="D97" t="s">
        <v>20</v>
      </c>
      <c r="E97" t="s">
        <v>39</v>
      </c>
      <c r="F97" t="s">
        <v>22</v>
      </c>
      <c r="G97" t="s">
        <v>40</v>
      </c>
      <c r="H97" t="s">
        <v>41</v>
      </c>
      <c r="I97" s="3">
        <v>55975</v>
      </c>
      <c r="J97" s="4">
        <v>9</v>
      </c>
      <c r="K97" s="2">
        <v>6728.37</v>
      </c>
    </row>
    <row r="98" spans="1:11" x14ac:dyDescent="0.3">
      <c r="A98" s="1">
        <v>44472</v>
      </c>
      <c r="B98" s="4">
        <f t="shared" si="2"/>
        <v>2021</v>
      </c>
      <c r="C98" s="4">
        <f t="shared" si="3"/>
        <v>10</v>
      </c>
      <c r="D98" t="s">
        <v>34</v>
      </c>
      <c r="E98" t="s">
        <v>21</v>
      </c>
      <c r="F98" t="s">
        <v>11</v>
      </c>
      <c r="G98" t="s">
        <v>12</v>
      </c>
      <c r="H98" t="s">
        <v>13</v>
      </c>
      <c r="I98" s="3">
        <v>19892</v>
      </c>
      <c r="J98" s="4">
        <v>8</v>
      </c>
      <c r="K98" s="2">
        <v>3304.15</v>
      </c>
    </row>
    <row r="99" spans="1:11" x14ac:dyDescent="0.3">
      <c r="A99" s="1">
        <v>44478</v>
      </c>
      <c r="B99" s="4">
        <f t="shared" si="2"/>
        <v>2021</v>
      </c>
      <c r="C99" s="4">
        <f t="shared" si="3"/>
        <v>10</v>
      </c>
      <c r="D99" t="s">
        <v>16</v>
      </c>
      <c r="E99" t="s">
        <v>10</v>
      </c>
      <c r="F99" t="s">
        <v>17</v>
      </c>
      <c r="G99" t="s">
        <v>47</v>
      </c>
      <c r="H99" t="s">
        <v>48</v>
      </c>
      <c r="I99" s="3">
        <v>2710</v>
      </c>
      <c r="J99" s="4">
        <v>5</v>
      </c>
      <c r="K99" s="2">
        <v>508.42</v>
      </c>
    </row>
    <row r="100" spans="1:11" x14ac:dyDescent="0.3">
      <c r="A100" s="1">
        <v>44478</v>
      </c>
      <c r="B100" s="4">
        <f t="shared" si="2"/>
        <v>2021</v>
      </c>
      <c r="C100" s="4">
        <f t="shared" si="3"/>
        <v>10</v>
      </c>
      <c r="D100" t="s">
        <v>20</v>
      </c>
      <c r="E100" t="s">
        <v>31</v>
      </c>
      <c r="F100" t="s">
        <v>11</v>
      </c>
      <c r="G100" t="s">
        <v>37</v>
      </c>
      <c r="H100" t="s">
        <v>38</v>
      </c>
      <c r="I100" s="3">
        <v>7358</v>
      </c>
      <c r="J100" s="4">
        <v>10</v>
      </c>
      <c r="K100" s="2">
        <v>1185.6199999999999</v>
      </c>
    </row>
    <row r="101" spans="1:11" x14ac:dyDescent="0.3">
      <c r="A101" s="1">
        <v>44483</v>
      </c>
      <c r="B101" s="4">
        <f t="shared" si="2"/>
        <v>2021</v>
      </c>
      <c r="C101" s="4">
        <f t="shared" si="3"/>
        <v>10</v>
      </c>
      <c r="D101" t="s">
        <v>14</v>
      </c>
      <c r="E101" t="s">
        <v>10</v>
      </c>
      <c r="F101" t="s">
        <v>17</v>
      </c>
      <c r="G101" t="s">
        <v>47</v>
      </c>
      <c r="H101" t="s">
        <v>48</v>
      </c>
      <c r="I101" s="3">
        <v>47406</v>
      </c>
      <c r="J101" s="4">
        <v>9</v>
      </c>
      <c r="K101" s="2">
        <v>5842.67</v>
      </c>
    </row>
    <row r="102" spans="1:11" x14ac:dyDescent="0.3">
      <c r="A102" s="1">
        <v>44483</v>
      </c>
      <c r="B102" s="4">
        <f t="shared" si="2"/>
        <v>2021</v>
      </c>
      <c r="C102" s="4">
        <f t="shared" si="3"/>
        <v>10</v>
      </c>
      <c r="D102" t="s">
        <v>34</v>
      </c>
      <c r="E102" t="s">
        <v>39</v>
      </c>
      <c r="F102" t="s">
        <v>11</v>
      </c>
      <c r="G102" t="s">
        <v>37</v>
      </c>
      <c r="H102" t="s">
        <v>38</v>
      </c>
      <c r="I102" s="3">
        <v>52006</v>
      </c>
      <c r="J102" s="4">
        <v>2</v>
      </c>
      <c r="K102" s="2">
        <v>6506.93</v>
      </c>
    </row>
    <row r="103" spans="1:11" x14ac:dyDescent="0.3">
      <c r="A103" s="1">
        <v>44485</v>
      </c>
      <c r="B103" s="4">
        <f t="shared" si="2"/>
        <v>2021</v>
      </c>
      <c r="C103" s="4">
        <f t="shared" si="3"/>
        <v>10</v>
      </c>
      <c r="D103" t="s">
        <v>34</v>
      </c>
      <c r="E103" t="s">
        <v>31</v>
      </c>
      <c r="F103" t="s">
        <v>11</v>
      </c>
      <c r="G103" t="s">
        <v>12</v>
      </c>
      <c r="H103" t="s">
        <v>13</v>
      </c>
      <c r="I103" s="3">
        <v>21903</v>
      </c>
      <c r="J103" s="4">
        <v>2</v>
      </c>
      <c r="K103" s="2">
        <v>1877.07</v>
      </c>
    </row>
    <row r="104" spans="1:11" x14ac:dyDescent="0.3">
      <c r="A104" s="1">
        <v>44501</v>
      </c>
      <c r="B104" s="4">
        <f t="shared" si="2"/>
        <v>2021</v>
      </c>
      <c r="C104" s="4">
        <f t="shared" si="3"/>
        <v>11</v>
      </c>
      <c r="D104" t="s">
        <v>20</v>
      </c>
      <c r="E104" t="s">
        <v>10</v>
      </c>
      <c r="F104" t="s">
        <v>22</v>
      </c>
      <c r="G104" t="s">
        <v>55</v>
      </c>
      <c r="H104" t="s">
        <v>56</v>
      </c>
      <c r="I104" s="3">
        <v>2470</v>
      </c>
      <c r="J104" s="4">
        <v>10</v>
      </c>
      <c r="K104" s="2">
        <v>352.9</v>
      </c>
    </row>
    <row r="105" spans="1:11" x14ac:dyDescent="0.3">
      <c r="A105" s="1">
        <v>44505</v>
      </c>
      <c r="B105" s="4">
        <f t="shared" si="2"/>
        <v>2021</v>
      </c>
      <c r="C105" s="4">
        <f t="shared" si="3"/>
        <v>11</v>
      </c>
      <c r="D105" t="s">
        <v>20</v>
      </c>
      <c r="E105" t="s">
        <v>39</v>
      </c>
      <c r="F105" t="s">
        <v>11</v>
      </c>
      <c r="G105" t="s">
        <v>12</v>
      </c>
      <c r="H105" t="s">
        <v>13</v>
      </c>
      <c r="I105" s="3">
        <v>15355</v>
      </c>
      <c r="J105" s="4">
        <v>7</v>
      </c>
      <c r="K105" s="2">
        <v>2366.09</v>
      </c>
    </row>
    <row r="106" spans="1:11" x14ac:dyDescent="0.3">
      <c r="A106" s="1">
        <v>44505</v>
      </c>
      <c r="B106" s="4">
        <f t="shared" si="2"/>
        <v>2021</v>
      </c>
      <c r="C106" s="4">
        <f t="shared" si="3"/>
        <v>11</v>
      </c>
      <c r="D106" t="s">
        <v>28</v>
      </c>
      <c r="E106" t="s">
        <v>46</v>
      </c>
      <c r="F106" t="s">
        <v>22</v>
      </c>
      <c r="G106" t="s">
        <v>40</v>
      </c>
      <c r="H106" t="s">
        <v>41</v>
      </c>
      <c r="I106" s="3">
        <v>9202</v>
      </c>
      <c r="J106" s="4">
        <v>4</v>
      </c>
      <c r="K106" s="2">
        <v>933.09</v>
      </c>
    </row>
    <row r="107" spans="1:11" x14ac:dyDescent="0.3">
      <c r="A107" s="1">
        <v>44509</v>
      </c>
      <c r="B107" s="4">
        <f t="shared" si="2"/>
        <v>2021</v>
      </c>
      <c r="C107" s="4">
        <f t="shared" si="3"/>
        <v>11</v>
      </c>
      <c r="D107" t="s">
        <v>28</v>
      </c>
      <c r="E107" t="s">
        <v>31</v>
      </c>
      <c r="F107" t="s">
        <v>11</v>
      </c>
      <c r="G107" t="s">
        <v>53</v>
      </c>
      <c r="H107" t="s">
        <v>54</v>
      </c>
      <c r="I107" s="3">
        <v>13057</v>
      </c>
      <c r="J107" s="4">
        <v>6</v>
      </c>
      <c r="K107" s="2">
        <v>1103.3499999999999</v>
      </c>
    </row>
    <row r="108" spans="1:11" x14ac:dyDescent="0.3">
      <c r="A108" s="1">
        <v>44512</v>
      </c>
      <c r="B108" s="4">
        <f t="shared" si="2"/>
        <v>2021</v>
      </c>
      <c r="C108" s="4">
        <f t="shared" si="3"/>
        <v>11</v>
      </c>
      <c r="D108" t="s">
        <v>34</v>
      </c>
      <c r="E108" t="s">
        <v>21</v>
      </c>
      <c r="F108" t="s">
        <v>17</v>
      </c>
      <c r="G108" t="s">
        <v>26</v>
      </c>
      <c r="H108" t="s">
        <v>27</v>
      </c>
      <c r="I108" s="3">
        <v>25103</v>
      </c>
      <c r="J108" s="4">
        <v>3</v>
      </c>
      <c r="K108" s="2">
        <v>4040.29</v>
      </c>
    </row>
    <row r="109" spans="1:11" x14ac:dyDescent="0.3">
      <c r="A109" s="1">
        <v>44514</v>
      </c>
      <c r="B109" s="4">
        <f t="shared" si="2"/>
        <v>2021</v>
      </c>
      <c r="C109" s="4">
        <f t="shared" si="3"/>
        <v>11</v>
      </c>
      <c r="D109" t="s">
        <v>25</v>
      </c>
      <c r="E109" t="s">
        <v>15</v>
      </c>
      <c r="F109" t="s">
        <v>22</v>
      </c>
      <c r="G109" t="s">
        <v>40</v>
      </c>
      <c r="H109" t="s">
        <v>41</v>
      </c>
      <c r="I109" s="3">
        <v>12645</v>
      </c>
      <c r="J109" s="4">
        <v>5</v>
      </c>
      <c r="K109" s="2">
        <v>1045.17</v>
      </c>
    </row>
    <row r="110" spans="1:11" x14ac:dyDescent="0.3">
      <c r="A110" s="1">
        <v>44515</v>
      </c>
      <c r="B110" s="4">
        <f t="shared" si="2"/>
        <v>2021</v>
      </c>
      <c r="C110" s="4">
        <f t="shared" si="3"/>
        <v>11</v>
      </c>
      <c r="D110" t="s">
        <v>9</v>
      </c>
      <c r="E110" t="s">
        <v>21</v>
      </c>
      <c r="F110" t="s">
        <v>22</v>
      </c>
      <c r="G110" t="s">
        <v>23</v>
      </c>
      <c r="H110" t="s">
        <v>24</v>
      </c>
      <c r="I110" s="3">
        <v>35352</v>
      </c>
      <c r="J110" s="4">
        <v>6</v>
      </c>
      <c r="K110" s="2">
        <v>3839.57</v>
      </c>
    </row>
    <row r="111" spans="1:11" x14ac:dyDescent="0.3">
      <c r="A111" s="1">
        <v>44518</v>
      </c>
      <c r="B111" s="4">
        <f t="shared" si="2"/>
        <v>2021</v>
      </c>
      <c r="C111" s="4">
        <f t="shared" si="3"/>
        <v>11</v>
      </c>
      <c r="D111" t="s">
        <v>42</v>
      </c>
      <c r="E111" t="s">
        <v>39</v>
      </c>
      <c r="F111" t="s">
        <v>17</v>
      </c>
      <c r="G111" t="s">
        <v>47</v>
      </c>
      <c r="H111" t="s">
        <v>48</v>
      </c>
      <c r="I111" s="3">
        <v>15919</v>
      </c>
      <c r="J111" s="4">
        <v>3</v>
      </c>
      <c r="K111" s="2">
        <v>2114.02</v>
      </c>
    </row>
    <row r="112" spans="1:11" x14ac:dyDescent="0.3">
      <c r="A112" s="1">
        <v>44519</v>
      </c>
      <c r="B112" s="4">
        <f t="shared" si="2"/>
        <v>2021</v>
      </c>
      <c r="C112" s="4">
        <f t="shared" si="3"/>
        <v>11</v>
      </c>
      <c r="D112" t="s">
        <v>14</v>
      </c>
      <c r="E112" t="s">
        <v>31</v>
      </c>
      <c r="F112" t="s">
        <v>11</v>
      </c>
      <c r="G112" t="s">
        <v>37</v>
      </c>
      <c r="H112" t="s">
        <v>38</v>
      </c>
      <c r="I112" s="3">
        <v>46849</v>
      </c>
      <c r="J112" s="4">
        <v>3</v>
      </c>
      <c r="K112" s="2">
        <v>7920.03</v>
      </c>
    </row>
    <row r="113" spans="1:11" x14ac:dyDescent="0.3">
      <c r="A113" s="1">
        <v>44523</v>
      </c>
      <c r="B113" s="4">
        <f t="shared" si="2"/>
        <v>2021</v>
      </c>
      <c r="C113" s="4">
        <f t="shared" si="3"/>
        <v>11</v>
      </c>
      <c r="D113" t="s">
        <v>57</v>
      </c>
      <c r="E113" t="s">
        <v>15</v>
      </c>
      <c r="F113" t="s">
        <v>22</v>
      </c>
      <c r="G113" t="s">
        <v>29</v>
      </c>
      <c r="H113" t="s">
        <v>30</v>
      </c>
      <c r="I113" s="3">
        <v>6762</v>
      </c>
      <c r="J113" s="4">
        <v>4</v>
      </c>
      <c r="K113" s="2">
        <v>1004.36</v>
      </c>
    </row>
    <row r="114" spans="1:11" x14ac:dyDescent="0.3">
      <c r="A114" s="1">
        <v>44527</v>
      </c>
      <c r="B114" s="4">
        <f t="shared" si="2"/>
        <v>2021</v>
      </c>
      <c r="C114" s="4">
        <f t="shared" si="3"/>
        <v>11</v>
      </c>
      <c r="D114" t="s">
        <v>28</v>
      </c>
      <c r="E114" t="s">
        <v>21</v>
      </c>
      <c r="F114" t="s">
        <v>17</v>
      </c>
      <c r="G114" t="s">
        <v>49</v>
      </c>
      <c r="H114" t="s">
        <v>50</v>
      </c>
      <c r="I114" s="3">
        <v>35548</v>
      </c>
      <c r="J114" s="4">
        <v>9</v>
      </c>
      <c r="K114" s="2">
        <v>6674.99</v>
      </c>
    </row>
    <row r="115" spans="1:11" x14ac:dyDescent="0.3">
      <c r="A115" s="1">
        <v>44529</v>
      </c>
      <c r="B115" s="4">
        <f t="shared" si="2"/>
        <v>2021</v>
      </c>
      <c r="C115" s="4">
        <f t="shared" si="3"/>
        <v>11</v>
      </c>
      <c r="D115" t="s">
        <v>25</v>
      </c>
      <c r="E115" t="s">
        <v>31</v>
      </c>
      <c r="F115" t="s">
        <v>11</v>
      </c>
      <c r="G115" t="s">
        <v>32</v>
      </c>
      <c r="H115" t="s">
        <v>33</v>
      </c>
      <c r="I115" s="3">
        <v>52621</v>
      </c>
      <c r="J115" s="4">
        <v>3</v>
      </c>
      <c r="K115" s="2">
        <v>9588.2000000000007</v>
      </c>
    </row>
    <row r="116" spans="1:11" x14ac:dyDescent="0.3">
      <c r="A116" s="1">
        <v>44529</v>
      </c>
      <c r="B116" s="4">
        <f t="shared" si="2"/>
        <v>2021</v>
      </c>
      <c r="C116" s="4">
        <f t="shared" si="3"/>
        <v>11</v>
      </c>
      <c r="D116" t="s">
        <v>57</v>
      </c>
      <c r="E116" t="s">
        <v>15</v>
      </c>
      <c r="F116" t="s">
        <v>22</v>
      </c>
      <c r="G116" t="s">
        <v>29</v>
      </c>
      <c r="H116" t="s">
        <v>58</v>
      </c>
      <c r="I116" s="3">
        <v>25952</v>
      </c>
      <c r="J116" s="4">
        <v>10</v>
      </c>
      <c r="K116" s="2">
        <v>4175.62</v>
      </c>
    </row>
    <row r="117" spans="1:11" x14ac:dyDescent="0.3">
      <c r="A117" s="1">
        <v>44530</v>
      </c>
      <c r="B117" s="4">
        <f t="shared" si="2"/>
        <v>2021</v>
      </c>
      <c r="C117" s="4">
        <f t="shared" si="3"/>
        <v>11</v>
      </c>
      <c r="D117" t="s">
        <v>20</v>
      </c>
      <c r="E117" t="s">
        <v>31</v>
      </c>
      <c r="F117" t="s">
        <v>17</v>
      </c>
      <c r="G117" t="s">
        <v>35</v>
      </c>
      <c r="H117" t="s">
        <v>36</v>
      </c>
      <c r="I117" s="3">
        <v>56156</v>
      </c>
      <c r="J117" s="4">
        <v>10</v>
      </c>
      <c r="K117" s="2">
        <v>9376.6200000000008</v>
      </c>
    </row>
    <row r="118" spans="1:11" x14ac:dyDescent="0.3">
      <c r="A118" s="1">
        <v>44531</v>
      </c>
      <c r="B118" s="4">
        <f t="shared" si="2"/>
        <v>2021</v>
      </c>
      <c r="C118" s="4">
        <f t="shared" si="3"/>
        <v>12</v>
      </c>
      <c r="D118" t="s">
        <v>9</v>
      </c>
      <c r="E118" t="s">
        <v>21</v>
      </c>
      <c r="F118" t="s">
        <v>11</v>
      </c>
      <c r="G118" t="s">
        <v>37</v>
      </c>
      <c r="H118" t="s">
        <v>38</v>
      </c>
      <c r="I118" s="3">
        <v>55096</v>
      </c>
      <c r="J118" s="4">
        <v>5</v>
      </c>
      <c r="K118" s="2">
        <v>8944.51</v>
      </c>
    </row>
    <row r="119" spans="1:11" x14ac:dyDescent="0.3">
      <c r="A119" s="1">
        <v>44533</v>
      </c>
      <c r="B119" s="4">
        <f t="shared" si="2"/>
        <v>2021</v>
      </c>
      <c r="C119" s="4">
        <f t="shared" si="3"/>
        <v>12</v>
      </c>
      <c r="D119" t="s">
        <v>20</v>
      </c>
      <c r="E119" t="s">
        <v>10</v>
      </c>
      <c r="F119" t="s">
        <v>17</v>
      </c>
      <c r="G119" t="s">
        <v>18</v>
      </c>
      <c r="H119" t="s">
        <v>19</v>
      </c>
      <c r="I119" s="3">
        <v>21703</v>
      </c>
      <c r="J119" s="4">
        <v>9</v>
      </c>
      <c r="K119" s="2">
        <v>2523.54</v>
      </c>
    </row>
    <row r="120" spans="1:11" x14ac:dyDescent="0.3">
      <c r="A120" s="1">
        <v>44534</v>
      </c>
      <c r="B120" s="4">
        <f t="shared" si="2"/>
        <v>2021</v>
      </c>
      <c r="C120" s="4">
        <f t="shared" si="3"/>
        <v>12</v>
      </c>
      <c r="D120" t="s">
        <v>57</v>
      </c>
      <c r="E120" t="s">
        <v>46</v>
      </c>
      <c r="F120" t="s">
        <v>17</v>
      </c>
      <c r="G120" t="s">
        <v>35</v>
      </c>
      <c r="H120" t="s">
        <v>36</v>
      </c>
      <c r="I120" s="3">
        <v>25036</v>
      </c>
      <c r="J120" s="4">
        <v>1</v>
      </c>
      <c r="K120" s="2">
        <v>4952.03</v>
      </c>
    </row>
    <row r="121" spans="1:11" x14ac:dyDescent="0.3">
      <c r="A121" s="1">
        <v>44545</v>
      </c>
      <c r="B121" s="4">
        <f t="shared" si="2"/>
        <v>2021</v>
      </c>
      <c r="C121" s="4">
        <f t="shared" si="3"/>
        <v>12</v>
      </c>
      <c r="D121" t="s">
        <v>45</v>
      </c>
      <c r="E121" t="s">
        <v>15</v>
      </c>
      <c r="F121" t="s">
        <v>22</v>
      </c>
      <c r="G121" t="s">
        <v>29</v>
      </c>
      <c r="H121" t="s">
        <v>30</v>
      </c>
      <c r="I121" s="3">
        <v>11673</v>
      </c>
      <c r="J121" s="4">
        <v>2</v>
      </c>
      <c r="K121" s="2">
        <v>1650.84</v>
      </c>
    </row>
    <row r="122" spans="1:11" x14ac:dyDescent="0.3">
      <c r="A122" s="1">
        <v>44545</v>
      </c>
      <c r="B122" s="4">
        <f t="shared" si="2"/>
        <v>2021</v>
      </c>
      <c r="C122" s="4">
        <f t="shared" si="3"/>
        <v>12</v>
      </c>
      <c r="D122" t="s">
        <v>9</v>
      </c>
      <c r="E122" t="s">
        <v>15</v>
      </c>
      <c r="F122" t="s">
        <v>17</v>
      </c>
      <c r="G122" t="s">
        <v>26</v>
      </c>
      <c r="H122" t="s">
        <v>27</v>
      </c>
      <c r="I122" s="3">
        <v>58391</v>
      </c>
      <c r="J122" s="4">
        <v>7</v>
      </c>
      <c r="K122" s="2">
        <v>4328.8599999999997</v>
      </c>
    </row>
    <row r="123" spans="1:11" x14ac:dyDescent="0.3">
      <c r="A123" s="1">
        <v>44552</v>
      </c>
      <c r="B123" s="4">
        <f t="shared" si="2"/>
        <v>2021</v>
      </c>
      <c r="C123" s="4">
        <f t="shared" si="3"/>
        <v>12</v>
      </c>
      <c r="D123" t="s">
        <v>20</v>
      </c>
      <c r="E123" t="s">
        <v>39</v>
      </c>
      <c r="F123" t="s">
        <v>17</v>
      </c>
      <c r="G123" t="s">
        <v>18</v>
      </c>
      <c r="H123" t="s">
        <v>19</v>
      </c>
      <c r="I123" s="3">
        <v>12832</v>
      </c>
      <c r="J123" s="4">
        <v>4</v>
      </c>
      <c r="K123" s="2">
        <v>2252.61</v>
      </c>
    </row>
    <row r="124" spans="1:11" x14ac:dyDescent="0.3">
      <c r="A124" s="1">
        <v>44555</v>
      </c>
      <c r="B124" s="4">
        <f t="shared" si="2"/>
        <v>2021</v>
      </c>
      <c r="C124" s="4">
        <f t="shared" si="3"/>
        <v>12</v>
      </c>
      <c r="D124" t="s">
        <v>57</v>
      </c>
      <c r="E124" t="s">
        <v>31</v>
      </c>
      <c r="F124" t="s">
        <v>22</v>
      </c>
      <c r="G124" t="s">
        <v>29</v>
      </c>
      <c r="H124" t="s">
        <v>30</v>
      </c>
      <c r="I124" s="3">
        <v>31034</v>
      </c>
      <c r="J124" s="4">
        <v>9</v>
      </c>
      <c r="K124" s="2">
        <v>4584.54</v>
      </c>
    </row>
    <row r="125" spans="1:11" x14ac:dyDescent="0.3">
      <c r="A125" s="1">
        <v>44555</v>
      </c>
      <c r="B125" s="4">
        <f t="shared" si="2"/>
        <v>2021</v>
      </c>
      <c r="C125" s="4">
        <f t="shared" si="3"/>
        <v>12</v>
      </c>
      <c r="D125" t="s">
        <v>25</v>
      </c>
      <c r="E125" t="s">
        <v>46</v>
      </c>
      <c r="F125" t="s">
        <v>11</v>
      </c>
      <c r="G125" t="s">
        <v>32</v>
      </c>
      <c r="H125" t="s">
        <v>33</v>
      </c>
      <c r="I125" s="3">
        <v>27586</v>
      </c>
      <c r="J125" s="4">
        <v>3</v>
      </c>
      <c r="K125" s="2">
        <v>5243.78</v>
      </c>
    </row>
    <row r="126" spans="1:11" x14ac:dyDescent="0.3">
      <c r="A126" s="1">
        <v>44556</v>
      </c>
      <c r="B126" s="4">
        <f t="shared" si="2"/>
        <v>2021</v>
      </c>
      <c r="C126" s="4">
        <f t="shared" si="3"/>
        <v>12</v>
      </c>
      <c r="D126" t="s">
        <v>34</v>
      </c>
      <c r="E126" t="s">
        <v>15</v>
      </c>
      <c r="F126" t="s">
        <v>22</v>
      </c>
      <c r="G126" t="s">
        <v>55</v>
      </c>
      <c r="H126" t="s">
        <v>56</v>
      </c>
      <c r="I126" s="3">
        <v>13359</v>
      </c>
      <c r="J126" s="4">
        <v>3</v>
      </c>
      <c r="K126" s="2">
        <v>2244</v>
      </c>
    </row>
    <row r="127" spans="1:11" x14ac:dyDescent="0.3">
      <c r="A127" s="1">
        <v>44564</v>
      </c>
      <c r="B127" s="4">
        <f t="shared" si="2"/>
        <v>2022</v>
      </c>
      <c r="C127" s="4">
        <f t="shared" si="3"/>
        <v>1</v>
      </c>
      <c r="D127" t="s">
        <v>42</v>
      </c>
      <c r="E127" t="s">
        <v>21</v>
      </c>
      <c r="F127" t="s">
        <v>22</v>
      </c>
      <c r="G127" t="s">
        <v>43</v>
      </c>
      <c r="H127" t="s">
        <v>44</v>
      </c>
      <c r="I127" s="3">
        <v>20009</v>
      </c>
      <c r="J127" s="4">
        <v>1</v>
      </c>
      <c r="K127" s="2">
        <v>3125.46</v>
      </c>
    </row>
    <row r="128" spans="1:11" x14ac:dyDescent="0.3">
      <c r="A128" s="1">
        <v>44564</v>
      </c>
      <c r="B128" s="4">
        <f t="shared" si="2"/>
        <v>2022</v>
      </c>
      <c r="C128" s="4">
        <f t="shared" si="3"/>
        <v>1</v>
      </c>
      <c r="D128" t="s">
        <v>20</v>
      </c>
      <c r="E128" t="s">
        <v>15</v>
      </c>
      <c r="F128" t="s">
        <v>11</v>
      </c>
      <c r="G128" t="s">
        <v>37</v>
      </c>
      <c r="H128" t="s">
        <v>38</v>
      </c>
      <c r="I128" s="3">
        <v>55933</v>
      </c>
      <c r="J128" s="4">
        <v>6</v>
      </c>
      <c r="K128" s="2">
        <v>2928.02</v>
      </c>
    </row>
    <row r="129" spans="1:11" x14ac:dyDescent="0.3">
      <c r="A129" s="1">
        <v>44571</v>
      </c>
      <c r="B129" s="4">
        <f t="shared" si="2"/>
        <v>2022</v>
      </c>
      <c r="C129" s="4">
        <f t="shared" si="3"/>
        <v>1</v>
      </c>
      <c r="D129" t="s">
        <v>16</v>
      </c>
      <c r="E129" t="s">
        <v>21</v>
      </c>
      <c r="F129" t="s">
        <v>17</v>
      </c>
      <c r="G129" t="s">
        <v>47</v>
      </c>
      <c r="H129" t="s">
        <v>48</v>
      </c>
      <c r="I129" s="3">
        <v>7660</v>
      </c>
      <c r="J129" s="4">
        <v>7</v>
      </c>
      <c r="K129" s="2">
        <v>842.89</v>
      </c>
    </row>
    <row r="130" spans="1:11" x14ac:dyDescent="0.3">
      <c r="A130" s="1">
        <v>44575</v>
      </c>
      <c r="B130" s="4">
        <f t="shared" ref="B130:B193" si="4">YEAR(A130)</f>
        <v>2022</v>
      </c>
      <c r="C130" s="4">
        <f t="shared" ref="C130:C193" si="5">MONTH(A130)</f>
        <v>1</v>
      </c>
      <c r="D130" t="s">
        <v>20</v>
      </c>
      <c r="E130" t="s">
        <v>39</v>
      </c>
      <c r="F130" t="s">
        <v>17</v>
      </c>
      <c r="G130" t="s">
        <v>35</v>
      </c>
      <c r="H130" t="s">
        <v>36</v>
      </c>
      <c r="I130" s="3">
        <v>9415</v>
      </c>
      <c r="J130" s="4">
        <v>8</v>
      </c>
      <c r="K130" s="2">
        <v>927.76</v>
      </c>
    </row>
    <row r="131" spans="1:11" x14ac:dyDescent="0.3">
      <c r="A131" s="1">
        <v>44577</v>
      </c>
      <c r="B131" s="4">
        <f t="shared" si="4"/>
        <v>2022</v>
      </c>
      <c r="C131" s="4">
        <f t="shared" si="5"/>
        <v>1</v>
      </c>
      <c r="D131" t="s">
        <v>20</v>
      </c>
      <c r="E131" t="s">
        <v>46</v>
      </c>
      <c r="F131" t="s">
        <v>17</v>
      </c>
      <c r="G131" t="s">
        <v>18</v>
      </c>
      <c r="H131" t="s">
        <v>19</v>
      </c>
      <c r="I131" s="3">
        <v>4690</v>
      </c>
      <c r="J131" s="4">
        <v>10</v>
      </c>
      <c r="K131" s="2">
        <v>282.31</v>
      </c>
    </row>
    <row r="132" spans="1:11" x14ac:dyDescent="0.3">
      <c r="A132" s="1">
        <v>44579</v>
      </c>
      <c r="B132" s="4">
        <f t="shared" si="4"/>
        <v>2022</v>
      </c>
      <c r="C132" s="4">
        <f t="shared" si="5"/>
        <v>1</v>
      </c>
      <c r="D132" t="s">
        <v>14</v>
      </c>
      <c r="E132" t="s">
        <v>21</v>
      </c>
      <c r="F132" t="s">
        <v>22</v>
      </c>
      <c r="G132" t="s">
        <v>40</v>
      </c>
      <c r="H132" t="s">
        <v>41</v>
      </c>
      <c r="I132" s="3">
        <v>32719</v>
      </c>
      <c r="J132" s="4">
        <v>8</v>
      </c>
      <c r="K132" s="2">
        <v>3438.83</v>
      </c>
    </row>
    <row r="133" spans="1:11" x14ac:dyDescent="0.3">
      <c r="A133" s="1">
        <v>44581</v>
      </c>
      <c r="B133" s="4">
        <f t="shared" si="4"/>
        <v>2022</v>
      </c>
      <c r="C133" s="4">
        <f t="shared" si="5"/>
        <v>1</v>
      </c>
      <c r="D133" t="s">
        <v>45</v>
      </c>
      <c r="E133" t="s">
        <v>10</v>
      </c>
      <c r="F133" t="s">
        <v>11</v>
      </c>
      <c r="G133" t="s">
        <v>53</v>
      </c>
      <c r="H133" t="s">
        <v>54</v>
      </c>
      <c r="I133" s="3">
        <v>29148</v>
      </c>
      <c r="J133" s="4">
        <v>4</v>
      </c>
      <c r="K133" s="2">
        <v>5451.11</v>
      </c>
    </row>
    <row r="134" spans="1:11" x14ac:dyDescent="0.3">
      <c r="A134" s="1">
        <v>44583</v>
      </c>
      <c r="B134" s="4">
        <f t="shared" si="4"/>
        <v>2022</v>
      </c>
      <c r="C134" s="4">
        <f t="shared" si="5"/>
        <v>1</v>
      </c>
      <c r="D134" t="s">
        <v>20</v>
      </c>
      <c r="E134" t="s">
        <v>46</v>
      </c>
      <c r="F134" t="s">
        <v>22</v>
      </c>
      <c r="G134" t="s">
        <v>40</v>
      </c>
      <c r="H134" t="s">
        <v>41</v>
      </c>
      <c r="I134" s="3">
        <v>45911</v>
      </c>
      <c r="J134" s="4">
        <v>4</v>
      </c>
      <c r="K134" s="2">
        <v>6233.32</v>
      </c>
    </row>
    <row r="135" spans="1:11" x14ac:dyDescent="0.3">
      <c r="A135" s="1">
        <v>44590</v>
      </c>
      <c r="B135" s="4">
        <f t="shared" si="4"/>
        <v>2022</v>
      </c>
      <c r="C135" s="4">
        <f t="shared" si="5"/>
        <v>1</v>
      </c>
      <c r="D135" t="s">
        <v>20</v>
      </c>
      <c r="E135" t="s">
        <v>21</v>
      </c>
      <c r="F135" t="s">
        <v>11</v>
      </c>
      <c r="G135" t="s">
        <v>37</v>
      </c>
      <c r="H135" t="s">
        <v>38</v>
      </c>
      <c r="I135" s="3">
        <v>16355</v>
      </c>
      <c r="J135" s="4">
        <v>5</v>
      </c>
      <c r="K135" s="2">
        <v>2186.88</v>
      </c>
    </row>
    <row r="136" spans="1:11" x14ac:dyDescent="0.3">
      <c r="A136" s="1">
        <v>44591</v>
      </c>
      <c r="B136" s="4">
        <f t="shared" si="4"/>
        <v>2022</v>
      </c>
      <c r="C136" s="4">
        <f t="shared" si="5"/>
        <v>1</v>
      </c>
      <c r="D136" t="s">
        <v>42</v>
      </c>
      <c r="E136" t="s">
        <v>31</v>
      </c>
      <c r="F136" t="s">
        <v>22</v>
      </c>
      <c r="G136" t="s">
        <v>43</v>
      </c>
      <c r="H136" t="s">
        <v>59</v>
      </c>
      <c r="I136" s="3">
        <v>20879</v>
      </c>
      <c r="J136" s="4">
        <v>2</v>
      </c>
      <c r="K136" s="2">
        <v>3370.54</v>
      </c>
    </row>
    <row r="137" spans="1:11" x14ac:dyDescent="0.3">
      <c r="A137" s="1">
        <v>44595</v>
      </c>
      <c r="B137" s="4">
        <f t="shared" si="4"/>
        <v>2022</v>
      </c>
      <c r="C137" s="4">
        <f t="shared" si="5"/>
        <v>2</v>
      </c>
      <c r="D137" t="s">
        <v>45</v>
      </c>
      <c r="E137" t="s">
        <v>15</v>
      </c>
      <c r="F137" t="s">
        <v>11</v>
      </c>
      <c r="G137" t="s">
        <v>12</v>
      </c>
      <c r="H137" t="s">
        <v>13</v>
      </c>
      <c r="I137" s="3">
        <v>32999</v>
      </c>
      <c r="J137" s="4">
        <v>2</v>
      </c>
      <c r="K137" s="2">
        <v>5943.93</v>
      </c>
    </row>
    <row r="138" spans="1:11" x14ac:dyDescent="0.3">
      <c r="A138" s="1">
        <v>44597</v>
      </c>
      <c r="B138" s="4">
        <f t="shared" si="4"/>
        <v>2022</v>
      </c>
      <c r="C138" s="4">
        <f t="shared" si="5"/>
        <v>2</v>
      </c>
      <c r="D138" t="s">
        <v>20</v>
      </c>
      <c r="E138" t="s">
        <v>31</v>
      </c>
      <c r="F138" t="s">
        <v>22</v>
      </c>
      <c r="G138" t="s">
        <v>29</v>
      </c>
      <c r="H138" t="s">
        <v>58</v>
      </c>
      <c r="I138" s="3">
        <v>48202</v>
      </c>
      <c r="J138" s="4">
        <v>9</v>
      </c>
      <c r="K138" s="2">
        <v>7908.61</v>
      </c>
    </row>
    <row r="139" spans="1:11" x14ac:dyDescent="0.3">
      <c r="A139" s="1">
        <v>44605</v>
      </c>
      <c r="B139" s="4">
        <f t="shared" si="4"/>
        <v>2022</v>
      </c>
      <c r="C139" s="4">
        <f t="shared" si="5"/>
        <v>2</v>
      </c>
      <c r="D139" t="s">
        <v>20</v>
      </c>
      <c r="E139" t="s">
        <v>31</v>
      </c>
      <c r="F139" t="s">
        <v>17</v>
      </c>
      <c r="G139" t="s">
        <v>35</v>
      </c>
      <c r="H139" t="s">
        <v>36</v>
      </c>
      <c r="I139" s="3">
        <v>53715</v>
      </c>
      <c r="J139" s="4">
        <v>8</v>
      </c>
      <c r="K139" s="2">
        <v>5503.04</v>
      </c>
    </row>
    <row r="140" spans="1:11" x14ac:dyDescent="0.3">
      <c r="A140" s="1">
        <v>44611</v>
      </c>
      <c r="B140" s="4">
        <f t="shared" si="4"/>
        <v>2022</v>
      </c>
      <c r="C140" s="4">
        <f t="shared" si="5"/>
        <v>2</v>
      </c>
      <c r="D140" t="s">
        <v>57</v>
      </c>
      <c r="E140" t="s">
        <v>31</v>
      </c>
      <c r="F140" t="s">
        <v>22</v>
      </c>
      <c r="G140" t="s">
        <v>23</v>
      </c>
      <c r="H140" t="s">
        <v>60</v>
      </c>
      <c r="I140" s="3">
        <v>45327</v>
      </c>
      <c r="J140" s="4">
        <v>3</v>
      </c>
      <c r="K140" s="2">
        <v>8264.1200000000008</v>
      </c>
    </row>
    <row r="141" spans="1:11" x14ac:dyDescent="0.3">
      <c r="A141" s="1">
        <v>44613</v>
      </c>
      <c r="B141" s="4">
        <f t="shared" si="4"/>
        <v>2022</v>
      </c>
      <c r="C141" s="4">
        <f t="shared" si="5"/>
        <v>2</v>
      </c>
      <c r="D141" t="s">
        <v>57</v>
      </c>
      <c r="E141" t="s">
        <v>46</v>
      </c>
      <c r="F141" t="s">
        <v>11</v>
      </c>
      <c r="G141" t="s">
        <v>53</v>
      </c>
      <c r="H141" t="s">
        <v>54</v>
      </c>
      <c r="I141" s="3">
        <v>17701</v>
      </c>
      <c r="J141" s="4">
        <v>9</v>
      </c>
      <c r="K141" s="2">
        <v>1232.9100000000001</v>
      </c>
    </row>
    <row r="142" spans="1:11" x14ac:dyDescent="0.3">
      <c r="A142" s="1">
        <v>44615</v>
      </c>
      <c r="B142" s="4">
        <f t="shared" si="4"/>
        <v>2022</v>
      </c>
      <c r="C142" s="4">
        <f t="shared" si="5"/>
        <v>2</v>
      </c>
      <c r="D142" t="s">
        <v>45</v>
      </c>
      <c r="E142" t="s">
        <v>31</v>
      </c>
      <c r="F142" t="s">
        <v>11</v>
      </c>
      <c r="G142" t="s">
        <v>37</v>
      </c>
      <c r="H142" t="s">
        <v>38</v>
      </c>
      <c r="I142" s="3">
        <v>44091</v>
      </c>
      <c r="J142" s="4">
        <v>6</v>
      </c>
      <c r="K142" s="2">
        <v>3783.14</v>
      </c>
    </row>
    <row r="143" spans="1:11" x14ac:dyDescent="0.3">
      <c r="A143" s="1">
        <v>44620</v>
      </c>
      <c r="B143" s="4">
        <f t="shared" si="4"/>
        <v>2022</v>
      </c>
      <c r="C143" s="4">
        <f t="shared" si="5"/>
        <v>2</v>
      </c>
      <c r="D143" t="s">
        <v>28</v>
      </c>
      <c r="E143" t="s">
        <v>21</v>
      </c>
      <c r="F143" t="s">
        <v>22</v>
      </c>
      <c r="G143" t="s">
        <v>43</v>
      </c>
      <c r="H143" t="s">
        <v>59</v>
      </c>
      <c r="I143" s="3">
        <v>53515</v>
      </c>
      <c r="J143" s="4">
        <v>4</v>
      </c>
      <c r="K143" s="2">
        <v>9141.2199999999993</v>
      </c>
    </row>
    <row r="144" spans="1:11" x14ac:dyDescent="0.3">
      <c r="A144" s="1">
        <v>44620</v>
      </c>
      <c r="B144" s="4">
        <f t="shared" si="4"/>
        <v>2022</v>
      </c>
      <c r="C144" s="4">
        <f t="shared" si="5"/>
        <v>2</v>
      </c>
      <c r="D144" t="s">
        <v>16</v>
      </c>
      <c r="E144" t="s">
        <v>39</v>
      </c>
      <c r="F144" t="s">
        <v>17</v>
      </c>
      <c r="G144" t="s">
        <v>26</v>
      </c>
      <c r="H144" t="s">
        <v>52</v>
      </c>
      <c r="I144" s="3">
        <v>11395</v>
      </c>
      <c r="J144" s="4">
        <v>5</v>
      </c>
      <c r="K144" s="2">
        <v>2239.79</v>
      </c>
    </row>
    <row r="145" spans="1:11" x14ac:dyDescent="0.3">
      <c r="A145" s="1">
        <v>44630</v>
      </c>
      <c r="B145" s="4">
        <f t="shared" si="4"/>
        <v>2022</v>
      </c>
      <c r="C145" s="4">
        <f t="shared" si="5"/>
        <v>3</v>
      </c>
      <c r="D145" t="s">
        <v>45</v>
      </c>
      <c r="E145" t="s">
        <v>21</v>
      </c>
      <c r="F145" t="s">
        <v>22</v>
      </c>
      <c r="G145" t="s">
        <v>40</v>
      </c>
      <c r="H145" t="s">
        <v>41</v>
      </c>
      <c r="I145" s="3">
        <v>29999</v>
      </c>
      <c r="J145" s="4">
        <v>6</v>
      </c>
      <c r="K145" s="2">
        <v>3018.65</v>
      </c>
    </row>
    <row r="146" spans="1:11" x14ac:dyDescent="0.3">
      <c r="A146" s="1">
        <v>44637</v>
      </c>
      <c r="B146" s="4">
        <f t="shared" si="4"/>
        <v>2022</v>
      </c>
      <c r="C146" s="4">
        <f t="shared" si="5"/>
        <v>3</v>
      </c>
      <c r="D146" t="s">
        <v>20</v>
      </c>
      <c r="E146" t="s">
        <v>21</v>
      </c>
      <c r="F146" t="s">
        <v>17</v>
      </c>
      <c r="G146" t="s">
        <v>47</v>
      </c>
      <c r="H146" t="s">
        <v>48</v>
      </c>
      <c r="I146" s="3">
        <v>54983</v>
      </c>
      <c r="J146" s="4">
        <v>6</v>
      </c>
      <c r="K146" s="2">
        <v>3972.44</v>
      </c>
    </row>
    <row r="147" spans="1:11" x14ac:dyDescent="0.3">
      <c r="A147" s="1">
        <v>44645</v>
      </c>
      <c r="B147" s="4">
        <f t="shared" si="4"/>
        <v>2022</v>
      </c>
      <c r="C147" s="4">
        <f t="shared" si="5"/>
        <v>3</v>
      </c>
      <c r="D147" t="s">
        <v>42</v>
      </c>
      <c r="E147" t="s">
        <v>10</v>
      </c>
      <c r="F147" t="s">
        <v>17</v>
      </c>
      <c r="G147" t="s">
        <v>18</v>
      </c>
      <c r="H147" t="s">
        <v>19</v>
      </c>
      <c r="I147" s="3">
        <v>41921</v>
      </c>
      <c r="J147" s="4">
        <v>4</v>
      </c>
      <c r="K147" s="2">
        <v>6000.31</v>
      </c>
    </row>
    <row r="148" spans="1:11" x14ac:dyDescent="0.3">
      <c r="A148" s="1">
        <v>44646</v>
      </c>
      <c r="B148" s="4">
        <f t="shared" si="4"/>
        <v>2022</v>
      </c>
      <c r="C148" s="4">
        <f t="shared" si="5"/>
        <v>3</v>
      </c>
      <c r="D148" t="s">
        <v>45</v>
      </c>
      <c r="E148" t="s">
        <v>21</v>
      </c>
      <c r="F148" t="s">
        <v>11</v>
      </c>
      <c r="G148" t="s">
        <v>32</v>
      </c>
      <c r="H148" t="s">
        <v>33</v>
      </c>
      <c r="I148" s="3">
        <v>18087</v>
      </c>
      <c r="J148" s="4">
        <v>7</v>
      </c>
      <c r="K148" s="2">
        <v>2221.92</v>
      </c>
    </row>
    <row r="149" spans="1:11" x14ac:dyDescent="0.3">
      <c r="A149" s="1">
        <v>44648</v>
      </c>
      <c r="B149" s="4">
        <f t="shared" si="4"/>
        <v>2022</v>
      </c>
      <c r="C149" s="4">
        <f t="shared" si="5"/>
        <v>3</v>
      </c>
      <c r="D149" t="s">
        <v>20</v>
      </c>
      <c r="E149" t="s">
        <v>21</v>
      </c>
      <c r="F149" t="s">
        <v>11</v>
      </c>
      <c r="G149" t="s">
        <v>37</v>
      </c>
      <c r="H149" t="s">
        <v>38</v>
      </c>
      <c r="I149" s="3">
        <v>26103</v>
      </c>
      <c r="J149" s="4">
        <v>10</v>
      </c>
      <c r="K149" s="2">
        <v>1519.65</v>
      </c>
    </row>
    <row r="150" spans="1:11" x14ac:dyDescent="0.3">
      <c r="A150" s="1">
        <v>44648</v>
      </c>
      <c r="B150" s="4">
        <f t="shared" si="4"/>
        <v>2022</v>
      </c>
      <c r="C150" s="4">
        <f t="shared" si="5"/>
        <v>3</v>
      </c>
      <c r="D150" t="s">
        <v>14</v>
      </c>
      <c r="E150" t="s">
        <v>21</v>
      </c>
      <c r="F150" t="s">
        <v>17</v>
      </c>
      <c r="G150" t="s">
        <v>26</v>
      </c>
      <c r="H150" t="s">
        <v>52</v>
      </c>
      <c r="I150" s="3">
        <v>19342</v>
      </c>
      <c r="J150" s="4">
        <v>1</v>
      </c>
      <c r="K150" s="2">
        <v>1764.53</v>
      </c>
    </row>
    <row r="151" spans="1:11" x14ac:dyDescent="0.3">
      <c r="A151" s="1">
        <v>44652</v>
      </c>
      <c r="B151" s="4">
        <f t="shared" si="4"/>
        <v>2022</v>
      </c>
      <c r="C151" s="4">
        <f t="shared" si="5"/>
        <v>4</v>
      </c>
      <c r="D151" t="s">
        <v>57</v>
      </c>
      <c r="E151" t="s">
        <v>46</v>
      </c>
      <c r="F151" t="s">
        <v>11</v>
      </c>
      <c r="G151" t="s">
        <v>37</v>
      </c>
      <c r="H151" t="s">
        <v>38</v>
      </c>
      <c r="I151" s="3">
        <v>23483</v>
      </c>
      <c r="J151" s="4">
        <v>4</v>
      </c>
      <c r="K151" s="2">
        <v>3795.59</v>
      </c>
    </row>
    <row r="152" spans="1:11" x14ac:dyDescent="0.3">
      <c r="A152" s="1">
        <v>44655</v>
      </c>
      <c r="B152" s="4">
        <f t="shared" si="4"/>
        <v>2022</v>
      </c>
      <c r="C152" s="4">
        <f t="shared" si="5"/>
        <v>4</v>
      </c>
      <c r="D152" t="s">
        <v>57</v>
      </c>
      <c r="E152" t="s">
        <v>10</v>
      </c>
      <c r="F152" t="s">
        <v>17</v>
      </c>
      <c r="G152" t="s">
        <v>49</v>
      </c>
      <c r="H152" t="s">
        <v>51</v>
      </c>
      <c r="I152" s="3">
        <v>16740</v>
      </c>
      <c r="J152" s="4">
        <v>10</v>
      </c>
      <c r="K152" s="2">
        <v>2858.57</v>
      </c>
    </row>
    <row r="153" spans="1:11" x14ac:dyDescent="0.3">
      <c r="A153" s="1">
        <v>44665</v>
      </c>
      <c r="B153" s="4">
        <f t="shared" si="4"/>
        <v>2022</v>
      </c>
      <c r="C153" s="4">
        <f t="shared" si="5"/>
        <v>4</v>
      </c>
      <c r="D153" t="s">
        <v>25</v>
      </c>
      <c r="E153" t="s">
        <v>10</v>
      </c>
      <c r="F153" t="s">
        <v>22</v>
      </c>
      <c r="G153" t="s">
        <v>23</v>
      </c>
      <c r="H153" t="s">
        <v>24</v>
      </c>
      <c r="I153" s="3">
        <v>44390</v>
      </c>
      <c r="J153" s="4">
        <v>10</v>
      </c>
      <c r="K153" s="2">
        <v>6128.86</v>
      </c>
    </row>
    <row r="154" spans="1:11" x14ac:dyDescent="0.3">
      <c r="A154" s="1">
        <v>44667</v>
      </c>
      <c r="B154" s="4">
        <f t="shared" si="4"/>
        <v>2022</v>
      </c>
      <c r="C154" s="4">
        <f t="shared" si="5"/>
        <v>4</v>
      </c>
      <c r="D154" t="s">
        <v>25</v>
      </c>
      <c r="E154" t="s">
        <v>39</v>
      </c>
      <c r="F154" t="s">
        <v>17</v>
      </c>
      <c r="G154" t="s">
        <v>18</v>
      </c>
      <c r="H154" t="s">
        <v>19</v>
      </c>
      <c r="I154" s="3">
        <v>14055</v>
      </c>
      <c r="J154" s="4">
        <v>10</v>
      </c>
      <c r="K154" s="2">
        <v>1705.22</v>
      </c>
    </row>
    <row r="155" spans="1:11" x14ac:dyDescent="0.3">
      <c r="A155" s="1">
        <v>44674</v>
      </c>
      <c r="B155" s="4">
        <f t="shared" si="4"/>
        <v>2022</v>
      </c>
      <c r="C155" s="4">
        <f t="shared" si="5"/>
        <v>4</v>
      </c>
      <c r="D155" t="s">
        <v>25</v>
      </c>
      <c r="E155" t="s">
        <v>21</v>
      </c>
      <c r="F155" t="s">
        <v>17</v>
      </c>
      <c r="G155" t="s">
        <v>35</v>
      </c>
      <c r="H155" t="s">
        <v>36</v>
      </c>
      <c r="I155" s="3">
        <v>35690</v>
      </c>
      <c r="J155" s="4">
        <v>6</v>
      </c>
      <c r="K155" s="2">
        <v>5189.01</v>
      </c>
    </row>
    <row r="156" spans="1:11" x14ac:dyDescent="0.3">
      <c r="A156" s="1">
        <v>44679</v>
      </c>
      <c r="B156" s="4">
        <f t="shared" si="4"/>
        <v>2022</v>
      </c>
      <c r="C156" s="4">
        <f t="shared" si="5"/>
        <v>4</v>
      </c>
      <c r="D156" t="s">
        <v>25</v>
      </c>
      <c r="E156" t="s">
        <v>21</v>
      </c>
      <c r="F156" t="s">
        <v>22</v>
      </c>
      <c r="G156" t="s">
        <v>29</v>
      </c>
      <c r="H156" t="s">
        <v>58</v>
      </c>
      <c r="I156" s="3">
        <v>25507</v>
      </c>
      <c r="J156" s="4">
        <v>2</v>
      </c>
      <c r="K156" s="2">
        <v>2709.78</v>
      </c>
    </row>
    <row r="157" spans="1:11" x14ac:dyDescent="0.3">
      <c r="A157" s="1">
        <v>44681</v>
      </c>
      <c r="B157" s="4">
        <f t="shared" si="4"/>
        <v>2022</v>
      </c>
      <c r="C157" s="4">
        <f t="shared" si="5"/>
        <v>4</v>
      </c>
      <c r="D157" t="s">
        <v>14</v>
      </c>
      <c r="E157" t="s">
        <v>15</v>
      </c>
      <c r="F157" t="s">
        <v>17</v>
      </c>
      <c r="G157" t="s">
        <v>49</v>
      </c>
      <c r="H157" t="s">
        <v>51</v>
      </c>
      <c r="I157" s="3">
        <v>51997</v>
      </c>
      <c r="J157" s="4">
        <v>8</v>
      </c>
      <c r="K157" s="2">
        <v>2804.85</v>
      </c>
    </row>
    <row r="158" spans="1:11" x14ac:dyDescent="0.3">
      <c r="A158" s="1">
        <v>44690</v>
      </c>
      <c r="B158" s="4">
        <f t="shared" si="4"/>
        <v>2022</v>
      </c>
      <c r="C158" s="4">
        <f t="shared" si="5"/>
        <v>5</v>
      </c>
      <c r="D158" t="s">
        <v>34</v>
      </c>
      <c r="E158" t="s">
        <v>21</v>
      </c>
      <c r="F158" t="s">
        <v>17</v>
      </c>
      <c r="G158" t="s">
        <v>26</v>
      </c>
      <c r="H158" t="s">
        <v>52</v>
      </c>
      <c r="I158" s="3">
        <v>12778</v>
      </c>
      <c r="J158" s="4">
        <v>10</v>
      </c>
      <c r="K158" s="2">
        <v>1647.96</v>
      </c>
    </row>
    <row r="159" spans="1:11" x14ac:dyDescent="0.3">
      <c r="A159" s="1">
        <v>44692</v>
      </c>
      <c r="B159" s="4">
        <f t="shared" si="4"/>
        <v>2022</v>
      </c>
      <c r="C159" s="4">
        <f t="shared" si="5"/>
        <v>5</v>
      </c>
      <c r="D159" t="s">
        <v>42</v>
      </c>
      <c r="E159" t="s">
        <v>46</v>
      </c>
      <c r="F159" t="s">
        <v>22</v>
      </c>
      <c r="G159" t="s">
        <v>23</v>
      </c>
      <c r="H159" t="s">
        <v>24</v>
      </c>
      <c r="I159" s="3">
        <v>24609</v>
      </c>
      <c r="J159" s="4">
        <v>8</v>
      </c>
      <c r="K159" s="2">
        <v>3423.27</v>
      </c>
    </row>
    <row r="160" spans="1:11" x14ac:dyDescent="0.3">
      <c r="A160" s="1">
        <v>44693</v>
      </c>
      <c r="B160" s="4">
        <f t="shared" si="4"/>
        <v>2022</v>
      </c>
      <c r="C160" s="4">
        <f t="shared" si="5"/>
        <v>5</v>
      </c>
      <c r="D160" t="s">
        <v>45</v>
      </c>
      <c r="E160" t="s">
        <v>31</v>
      </c>
      <c r="F160" t="s">
        <v>17</v>
      </c>
      <c r="G160" t="s">
        <v>26</v>
      </c>
      <c r="H160" t="s">
        <v>27</v>
      </c>
      <c r="I160" s="3">
        <v>45788</v>
      </c>
      <c r="J160" s="4">
        <v>10</v>
      </c>
      <c r="K160" s="2">
        <v>7123.02</v>
      </c>
    </row>
    <row r="161" spans="1:11" x14ac:dyDescent="0.3">
      <c r="A161" s="1">
        <v>44694</v>
      </c>
      <c r="B161" s="4">
        <f t="shared" si="4"/>
        <v>2022</v>
      </c>
      <c r="C161" s="4">
        <f t="shared" si="5"/>
        <v>5</v>
      </c>
      <c r="D161" t="s">
        <v>9</v>
      </c>
      <c r="E161" t="s">
        <v>46</v>
      </c>
      <c r="F161" t="s">
        <v>11</v>
      </c>
      <c r="G161" t="s">
        <v>32</v>
      </c>
      <c r="H161" t="s">
        <v>33</v>
      </c>
      <c r="I161" s="3">
        <v>16911</v>
      </c>
      <c r="J161" s="4">
        <v>4</v>
      </c>
      <c r="K161" s="2">
        <v>1683.31</v>
      </c>
    </row>
    <row r="162" spans="1:11" x14ac:dyDescent="0.3">
      <c r="A162" s="1">
        <v>44698</v>
      </c>
      <c r="B162" s="4">
        <f t="shared" si="4"/>
        <v>2022</v>
      </c>
      <c r="C162" s="4">
        <f t="shared" si="5"/>
        <v>5</v>
      </c>
      <c r="D162" t="s">
        <v>9</v>
      </c>
      <c r="E162" t="s">
        <v>46</v>
      </c>
      <c r="F162" t="s">
        <v>17</v>
      </c>
      <c r="G162" t="s">
        <v>26</v>
      </c>
      <c r="H162" t="s">
        <v>52</v>
      </c>
      <c r="I162" s="3">
        <v>31338</v>
      </c>
      <c r="J162" s="4">
        <v>10</v>
      </c>
      <c r="K162" s="2">
        <v>5561.26</v>
      </c>
    </row>
    <row r="163" spans="1:11" x14ac:dyDescent="0.3">
      <c r="A163" s="1">
        <v>44698</v>
      </c>
      <c r="B163" s="4">
        <f t="shared" si="4"/>
        <v>2022</v>
      </c>
      <c r="C163" s="4">
        <f t="shared" si="5"/>
        <v>5</v>
      </c>
      <c r="D163" t="s">
        <v>9</v>
      </c>
      <c r="E163" t="s">
        <v>10</v>
      </c>
      <c r="F163" t="s">
        <v>11</v>
      </c>
      <c r="G163" t="s">
        <v>37</v>
      </c>
      <c r="H163" t="s">
        <v>38</v>
      </c>
      <c r="I163" s="3">
        <v>52936</v>
      </c>
      <c r="J163" s="4">
        <v>7</v>
      </c>
      <c r="K163" s="2">
        <v>5008.54</v>
      </c>
    </row>
    <row r="164" spans="1:11" x14ac:dyDescent="0.3">
      <c r="A164" s="1">
        <v>44705</v>
      </c>
      <c r="B164" s="4">
        <f t="shared" si="4"/>
        <v>2022</v>
      </c>
      <c r="C164" s="4">
        <f t="shared" si="5"/>
        <v>5</v>
      </c>
      <c r="D164" t="s">
        <v>28</v>
      </c>
      <c r="E164" t="s">
        <v>10</v>
      </c>
      <c r="F164" t="s">
        <v>22</v>
      </c>
      <c r="G164" t="s">
        <v>29</v>
      </c>
      <c r="H164" t="s">
        <v>58</v>
      </c>
      <c r="I164" s="3">
        <v>56908</v>
      </c>
      <c r="J164" s="4">
        <v>3</v>
      </c>
      <c r="K164" s="2">
        <v>9789.41</v>
      </c>
    </row>
    <row r="165" spans="1:11" x14ac:dyDescent="0.3">
      <c r="A165" s="1">
        <v>44706</v>
      </c>
      <c r="B165" s="4">
        <f t="shared" si="4"/>
        <v>2022</v>
      </c>
      <c r="C165" s="4">
        <f t="shared" si="5"/>
        <v>5</v>
      </c>
      <c r="D165" t="s">
        <v>42</v>
      </c>
      <c r="E165" t="s">
        <v>46</v>
      </c>
      <c r="F165" t="s">
        <v>22</v>
      </c>
      <c r="G165" t="s">
        <v>55</v>
      </c>
      <c r="H165" t="s">
        <v>56</v>
      </c>
      <c r="I165" s="3">
        <v>12756</v>
      </c>
      <c r="J165" s="4">
        <v>4</v>
      </c>
      <c r="K165" s="2">
        <v>1663.93</v>
      </c>
    </row>
    <row r="166" spans="1:11" x14ac:dyDescent="0.3">
      <c r="A166" s="1">
        <v>44708</v>
      </c>
      <c r="B166" s="4">
        <f t="shared" si="4"/>
        <v>2022</v>
      </c>
      <c r="C166" s="4">
        <f t="shared" si="5"/>
        <v>5</v>
      </c>
      <c r="D166" t="s">
        <v>14</v>
      </c>
      <c r="E166" t="s">
        <v>39</v>
      </c>
      <c r="F166" t="s">
        <v>17</v>
      </c>
      <c r="G166" t="s">
        <v>47</v>
      </c>
      <c r="H166" t="s">
        <v>48</v>
      </c>
      <c r="I166" s="3">
        <v>57510</v>
      </c>
      <c r="J166" s="4">
        <v>2</v>
      </c>
      <c r="K166" s="2">
        <v>6698.17</v>
      </c>
    </row>
    <row r="167" spans="1:11" x14ac:dyDescent="0.3">
      <c r="A167" s="1">
        <v>44709</v>
      </c>
      <c r="B167" s="4">
        <f t="shared" si="4"/>
        <v>2022</v>
      </c>
      <c r="C167" s="4">
        <f t="shared" si="5"/>
        <v>5</v>
      </c>
      <c r="D167" t="s">
        <v>42</v>
      </c>
      <c r="E167" t="s">
        <v>39</v>
      </c>
      <c r="F167" t="s">
        <v>22</v>
      </c>
      <c r="G167" t="s">
        <v>23</v>
      </c>
      <c r="H167" t="s">
        <v>60</v>
      </c>
      <c r="I167" s="3">
        <v>5601</v>
      </c>
      <c r="J167" s="4">
        <v>6</v>
      </c>
      <c r="K167" s="2">
        <v>838.34</v>
      </c>
    </row>
    <row r="168" spans="1:11" x14ac:dyDescent="0.3">
      <c r="A168" s="1">
        <v>44711</v>
      </c>
      <c r="B168" s="4">
        <f t="shared" si="4"/>
        <v>2022</v>
      </c>
      <c r="C168" s="4">
        <f t="shared" si="5"/>
        <v>5</v>
      </c>
      <c r="D168" t="s">
        <v>45</v>
      </c>
      <c r="E168" t="s">
        <v>21</v>
      </c>
      <c r="F168" t="s">
        <v>11</v>
      </c>
      <c r="G168" t="s">
        <v>37</v>
      </c>
      <c r="H168" t="s">
        <v>38</v>
      </c>
      <c r="I168" s="3">
        <v>59532</v>
      </c>
      <c r="J168" s="4">
        <v>1</v>
      </c>
      <c r="K168" s="2">
        <v>3800.81</v>
      </c>
    </row>
    <row r="169" spans="1:11" x14ac:dyDescent="0.3">
      <c r="A169" s="1">
        <v>44718</v>
      </c>
      <c r="B169" s="4">
        <f t="shared" si="4"/>
        <v>2022</v>
      </c>
      <c r="C169" s="4">
        <f t="shared" si="5"/>
        <v>6</v>
      </c>
      <c r="D169" t="s">
        <v>14</v>
      </c>
      <c r="E169" t="s">
        <v>10</v>
      </c>
      <c r="F169" t="s">
        <v>22</v>
      </c>
      <c r="G169" t="s">
        <v>29</v>
      </c>
      <c r="H169" t="s">
        <v>30</v>
      </c>
      <c r="I169" s="3">
        <v>3108</v>
      </c>
      <c r="J169" s="4">
        <v>7</v>
      </c>
      <c r="K169" s="2">
        <v>156.19</v>
      </c>
    </row>
    <row r="170" spans="1:11" x14ac:dyDescent="0.3">
      <c r="A170" s="1">
        <v>44723</v>
      </c>
      <c r="B170" s="4">
        <f t="shared" si="4"/>
        <v>2022</v>
      </c>
      <c r="C170" s="4">
        <f t="shared" si="5"/>
        <v>6</v>
      </c>
      <c r="D170" t="s">
        <v>57</v>
      </c>
      <c r="E170" t="s">
        <v>10</v>
      </c>
      <c r="F170" t="s">
        <v>11</v>
      </c>
      <c r="G170" t="s">
        <v>37</v>
      </c>
      <c r="H170" t="s">
        <v>38</v>
      </c>
      <c r="I170" s="3">
        <v>54246</v>
      </c>
      <c r="J170" s="4">
        <v>8</v>
      </c>
      <c r="K170" s="2">
        <v>10583.81</v>
      </c>
    </row>
    <row r="171" spans="1:11" x14ac:dyDescent="0.3">
      <c r="A171" s="1">
        <v>44724</v>
      </c>
      <c r="B171" s="4">
        <f t="shared" si="4"/>
        <v>2022</v>
      </c>
      <c r="C171" s="4">
        <f t="shared" si="5"/>
        <v>6</v>
      </c>
      <c r="D171" t="s">
        <v>16</v>
      </c>
      <c r="E171" t="s">
        <v>46</v>
      </c>
      <c r="F171" t="s">
        <v>22</v>
      </c>
      <c r="G171" t="s">
        <v>29</v>
      </c>
      <c r="H171" t="s">
        <v>58</v>
      </c>
      <c r="I171" s="3">
        <v>50227</v>
      </c>
      <c r="J171" s="4">
        <v>8</v>
      </c>
      <c r="K171" s="2">
        <v>9793.07</v>
      </c>
    </row>
    <row r="172" spans="1:11" x14ac:dyDescent="0.3">
      <c r="A172" s="1">
        <v>44727</v>
      </c>
      <c r="B172" s="4">
        <f t="shared" si="4"/>
        <v>2022</v>
      </c>
      <c r="C172" s="4">
        <f t="shared" si="5"/>
        <v>6</v>
      </c>
      <c r="D172" t="s">
        <v>57</v>
      </c>
      <c r="E172" t="s">
        <v>15</v>
      </c>
      <c r="F172" t="s">
        <v>17</v>
      </c>
      <c r="G172" t="s">
        <v>35</v>
      </c>
      <c r="H172" t="s">
        <v>36</v>
      </c>
      <c r="I172" s="3">
        <v>49468</v>
      </c>
      <c r="J172" s="4">
        <v>4</v>
      </c>
      <c r="K172" s="2">
        <v>8705.35</v>
      </c>
    </row>
    <row r="173" spans="1:11" x14ac:dyDescent="0.3">
      <c r="A173" s="1">
        <v>44735</v>
      </c>
      <c r="B173" s="4">
        <f t="shared" si="4"/>
        <v>2022</v>
      </c>
      <c r="C173" s="4">
        <f t="shared" si="5"/>
        <v>6</v>
      </c>
      <c r="D173" t="s">
        <v>34</v>
      </c>
      <c r="E173" t="s">
        <v>10</v>
      </c>
      <c r="F173" t="s">
        <v>22</v>
      </c>
      <c r="G173" t="s">
        <v>43</v>
      </c>
      <c r="H173" t="s">
        <v>59</v>
      </c>
      <c r="I173" s="3">
        <v>54693</v>
      </c>
      <c r="J173" s="4">
        <v>9</v>
      </c>
      <c r="K173" s="2">
        <v>10718.08</v>
      </c>
    </row>
    <row r="174" spans="1:11" x14ac:dyDescent="0.3">
      <c r="A174" s="1">
        <v>44738</v>
      </c>
      <c r="B174" s="4">
        <f t="shared" si="4"/>
        <v>2022</v>
      </c>
      <c r="C174" s="4">
        <f t="shared" si="5"/>
        <v>6</v>
      </c>
      <c r="D174" t="s">
        <v>20</v>
      </c>
      <c r="E174" t="s">
        <v>46</v>
      </c>
      <c r="F174" t="s">
        <v>22</v>
      </c>
      <c r="G174" t="s">
        <v>23</v>
      </c>
      <c r="H174" t="s">
        <v>24</v>
      </c>
      <c r="I174" s="3">
        <v>51831</v>
      </c>
      <c r="J174" s="4">
        <v>10</v>
      </c>
      <c r="K174" s="2">
        <v>7732.02</v>
      </c>
    </row>
    <row r="175" spans="1:11" x14ac:dyDescent="0.3">
      <c r="A175" s="1">
        <v>44739</v>
      </c>
      <c r="B175" s="4">
        <f t="shared" si="4"/>
        <v>2022</v>
      </c>
      <c r="C175" s="4">
        <f t="shared" si="5"/>
        <v>6</v>
      </c>
      <c r="D175" t="s">
        <v>20</v>
      </c>
      <c r="E175" t="s">
        <v>15</v>
      </c>
      <c r="F175" t="s">
        <v>22</v>
      </c>
      <c r="G175" t="s">
        <v>29</v>
      </c>
      <c r="H175" t="s">
        <v>30</v>
      </c>
      <c r="I175" s="3">
        <v>34781</v>
      </c>
      <c r="J175" s="4">
        <v>10</v>
      </c>
      <c r="K175" s="2">
        <v>3946.62</v>
      </c>
    </row>
    <row r="176" spans="1:11" x14ac:dyDescent="0.3">
      <c r="A176" s="1">
        <v>44744</v>
      </c>
      <c r="B176" s="4">
        <f t="shared" si="4"/>
        <v>2022</v>
      </c>
      <c r="C176" s="4">
        <f t="shared" si="5"/>
        <v>7</v>
      </c>
      <c r="D176" t="s">
        <v>25</v>
      </c>
      <c r="E176" t="s">
        <v>21</v>
      </c>
      <c r="F176" t="s">
        <v>17</v>
      </c>
      <c r="G176" t="s">
        <v>35</v>
      </c>
      <c r="H176" t="s">
        <v>36</v>
      </c>
      <c r="I176" s="3">
        <v>29664</v>
      </c>
      <c r="J176" s="4">
        <v>4</v>
      </c>
      <c r="K176" s="2">
        <v>2110.0500000000002</v>
      </c>
    </row>
    <row r="177" spans="1:11" x14ac:dyDescent="0.3">
      <c r="A177" s="1">
        <v>44747</v>
      </c>
      <c r="B177" s="4">
        <f t="shared" si="4"/>
        <v>2022</v>
      </c>
      <c r="C177" s="4">
        <f t="shared" si="5"/>
        <v>7</v>
      </c>
      <c r="D177" t="s">
        <v>9</v>
      </c>
      <c r="E177" t="s">
        <v>31</v>
      </c>
      <c r="F177" t="s">
        <v>22</v>
      </c>
      <c r="G177" t="s">
        <v>43</v>
      </c>
      <c r="H177" t="s">
        <v>59</v>
      </c>
      <c r="I177" s="3">
        <v>19934</v>
      </c>
      <c r="J177" s="4">
        <v>5</v>
      </c>
      <c r="K177" s="2">
        <v>2471.19</v>
      </c>
    </row>
    <row r="178" spans="1:11" x14ac:dyDescent="0.3">
      <c r="A178" s="1">
        <v>44748</v>
      </c>
      <c r="B178" s="4">
        <f t="shared" si="4"/>
        <v>2022</v>
      </c>
      <c r="C178" s="4">
        <f t="shared" si="5"/>
        <v>7</v>
      </c>
      <c r="D178" t="s">
        <v>25</v>
      </c>
      <c r="E178" t="s">
        <v>46</v>
      </c>
      <c r="F178" t="s">
        <v>11</v>
      </c>
      <c r="G178" t="s">
        <v>32</v>
      </c>
      <c r="H178" t="s">
        <v>33</v>
      </c>
      <c r="I178" s="3">
        <v>42902</v>
      </c>
      <c r="J178" s="4">
        <v>7</v>
      </c>
      <c r="K178" s="2">
        <v>5448.22</v>
      </c>
    </row>
    <row r="179" spans="1:11" x14ac:dyDescent="0.3">
      <c r="A179" s="1">
        <v>44754</v>
      </c>
      <c r="B179" s="4">
        <f t="shared" si="4"/>
        <v>2022</v>
      </c>
      <c r="C179" s="4">
        <f t="shared" si="5"/>
        <v>7</v>
      </c>
      <c r="D179" t="s">
        <v>16</v>
      </c>
      <c r="E179" t="s">
        <v>46</v>
      </c>
      <c r="F179" t="s">
        <v>11</v>
      </c>
      <c r="G179" t="s">
        <v>12</v>
      </c>
      <c r="H179" t="s">
        <v>13</v>
      </c>
      <c r="I179" s="3">
        <v>29239</v>
      </c>
      <c r="J179" s="4">
        <v>7</v>
      </c>
      <c r="K179" s="2">
        <v>3591.99</v>
      </c>
    </row>
    <row r="180" spans="1:11" x14ac:dyDescent="0.3">
      <c r="A180" s="1">
        <v>44756</v>
      </c>
      <c r="B180" s="4">
        <f t="shared" si="4"/>
        <v>2022</v>
      </c>
      <c r="C180" s="4">
        <f t="shared" si="5"/>
        <v>7</v>
      </c>
      <c r="D180" t="s">
        <v>45</v>
      </c>
      <c r="E180" t="s">
        <v>10</v>
      </c>
      <c r="F180" t="s">
        <v>22</v>
      </c>
      <c r="G180" t="s">
        <v>23</v>
      </c>
      <c r="H180" t="s">
        <v>60</v>
      </c>
      <c r="I180" s="3">
        <v>8357</v>
      </c>
      <c r="J180" s="4">
        <v>6</v>
      </c>
      <c r="K180" s="2">
        <v>965.59</v>
      </c>
    </row>
    <row r="181" spans="1:11" x14ac:dyDescent="0.3">
      <c r="A181" s="1">
        <v>44760</v>
      </c>
      <c r="B181" s="4">
        <f t="shared" si="4"/>
        <v>2022</v>
      </c>
      <c r="C181" s="4">
        <f t="shared" si="5"/>
        <v>7</v>
      </c>
      <c r="D181" t="s">
        <v>9</v>
      </c>
      <c r="E181" t="s">
        <v>10</v>
      </c>
      <c r="F181" t="s">
        <v>11</v>
      </c>
      <c r="G181" t="s">
        <v>12</v>
      </c>
      <c r="H181" t="s">
        <v>13</v>
      </c>
      <c r="I181" s="3">
        <v>16249</v>
      </c>
      <c r="J181" s="4">
        <v>4</v>
      </c>
      <c r="K181" s="2">
        <v>1152.55</v>
      </c>
    </row>
    <row r="182" spans="1:11" x14ac:dyDescent="0.3">
      <c r="A182" s="1">
        <v>44767</v>
      </c>
      <c r="B182" s="4">
        <f t="shared" si="4"/>
        <v>2022</v>
      </c>
      <c r="C182" s="4">
        <f t="shared" si="5"/>
        <v>7</v>
      </c>
      <c r="D182" t="s">
        <v>42</v>
      </c>
      <c r="E182" t="s">
        <v>10</v>
      </c>
      <c r="F182" t="s">
        <v>17</v>
      </c>
      <c r="G182" t="s">
        <v>18</v>
      </c>
      <c r="H182" t="s">
        <v>19</v>
      </c>
      <c r="I182" s="3">
        <v>44042</v>
      </c>
      <c r="J182" s="4">
        <v>8</v>
      </c>
      <c r="K182" s="2">
        <v>3617.41</v>
      </c>
    </row>
    <row r="183" spans="1:11" x14ac:dyDescent="0.3">
      <c r="A183" s="1">
        <v>44774</v>
      </c>
      <c r="B183" s="4">
        <f t="shared" si="4"/>
        <v>2022</v>
      </c>
      <c r="C183" s="4">
        <f t="shared" si="5"/>
        <v>8</v>
      </c>
      <c r="D183" t="s">
        <v>20</v>
      </c>
      <c r="E183" t="s">
        <v>10</v>
      </c>
      <c r="F183" t="s">
        <v>11</v>
      </c>
      <c r="G183" t="s">
        <v>32</v>
      </c>
      <c r="H183" t="s">
        <v>33</v>
      </c>
      <c r="I183" s="3">
        <v>39838</v>
      </c>
      <c r="J183" s="4">
        <v>4</v>
      </c>
      <c r="K183" s="2">
        <v>6280.14</v>
      </c>
    </row>
    <row r="184" spans="1:11" x14ac:dyDescent="0.3">
      <c r="A184" s="1">
        <v>44775</v>
      </c>
      <c r="B184" s="4">
        <f t="shared" si="4"/>
        <v>2022</v>
      </c>
      <c r="C184" s="4">
        <f t="shared" si="5"/>
        <v>8</v>
      </c>
      <c r="D184" t="s">
        <v>14</v>
      </c>
      <c r="E184" t="s">
        <v>46</v>
      </c>
      <c r="F184" t="s">
        <v>22</v>
      </c>
      <c r="G184" t="s">
        <v>23</v>
      </c>
      <c r="H184" t="s">
        <v>60</v>
      </c>
      <c r="I184" s="3">
        <v>50893</v>
      </c>
      <c r="J184" s="4">
        <v>5</v>
      </c>
      <c r="K184" s="2">
        <v>5043.25</v>
      </c>
    </row>
    <row r="185" spans="1:11" x14ac:dyDescent="0.3">
      <c r="A185" s="1">
        <v>44780</v>
      </c>
      <c r="B185" s="4">
        <f t="shared" si="4"/>
        <v>2022</v>
      </c>
      <c r="C185" s="4">
        <f t="shared" si="5"/>
        <v>8</v>
      </c>
      <c r="D185" t="s">
        <v>14</v>
      </c>
      <c r="E185" t="s">
        <v>31</v>
      </c>
      <c r="F185" t="s">
        <v>11</v>
      </c>
      <c r="G185" t="s">
        <v>12</v>
      </c>
      <c r="H185" t="s">
        <v>13</v>
      </c>
      <c r="I185" s="3">
        <v>5696</v>
      </c>
      <c r="J185" s="4">
        <v>3</v>
      </c>
      <c r="K185" s="2">
        <v>517.87</v>
      </c>
    </row>
    <row r="186" spans="1:11" x14ac:dyDescent="0.3">
      <c r="A186" s="1">
        <v>44784</v>
      </c>
      <c r="B186" s="4">
        <f t="shared" si="4"/>
        <v>2022</v>
      </c>
      <c r="C186" s="4">
        <f t="shared" si="5"/>
        <v>8</v>
      </c>
      <c r="D186" t="s">
        <v>28</v>
      </c>
      <c r="E186" t="s">
        <v>10</v>
      </c>
      <c r="F186" t="s">
        <v>11</v>
      </c>
      <c r="G186" t="s">
        <v>12</v>
      </c>
      <c r="H186" t="s">
        <v>13</v>
      </c>
      <c r="I186" s="3">
        <v>13974</v>
      </c>
      <c r="J186" s="4">
        <v>7</v>
      </c>
      <c r="K186" s="2">
        <v>2345.73</v>
      </c>
    </row>
    <row r="187" spans="1:11" x14ac:dyDescent="0.3">
      <c r="A187" s="1">
        <v>44784</v>
      </c>
      <c r="B187" s="4">
        <f t="shared" si="4"/>
        <v>2022</v>
      </c>
      <c r="C187" s="4">
        <f t="shared" si="5"/>
        <v>8</v>
      </c>
      <c r="D187" t="s">
        <v>45</v>
      </c>
      <c r="E187" t="s">
        <v>21</v>
      </c>
      <c r="F187" t="s">
        <v>17</v>
      </c>
      <c r="G187" t="s">
        <v>35</v>
      </c>
      <c r="H187" t="s">
        <v>36</v>
      </c>
      <c r="I187" s="3">
        <v>26995</v>
      </c>
      <c r="J187" s="4">
        <v>3</v>
      </c>
      <c r="K187" s="2">
        <v>4463.51</v>
      </c>
    </row>
    <row r="188" spans="1:11" x14ac:dyDescent="0.3">
      <c r="A188" s="1">
        <v>44786</v>
      </c>
      <c r="B188" s="4">
        <f t="shared" si="4"/>
        <v>2022</v>
      </c>
      <c r="C188" s="4">
        <f t="shared" si="5"/>
        <v>8</v>
      </c>
      <c r="D188" t="s">
        <v>16</v>
      </c>
      <c r="E188" t="s">
        <v>21</v>
      </c>
      <c r="F188" t="s">
        <v>22</v>
      </c>
      <c r="G188" t="s">
        <v>23</v>
      </c>
      <c r="H188" t="s">
        <v>60</v>
      </c>
      <c r="I188" s="3">
        <v>44607</v>
      </c>
      <c r="J188" s="4">
        <v>9</v>
      </c>
      <c r="K188" s="2">
        <v>3287.37</v>
      </c>
    </row>
    <row r="189" spans="1:11" x14ac:dyDescent="0.3">
      <c r="A189" s="1">
        <v>44787</v>
      </c>
      <c r="B189" s="4">
        <f t="shared" si="4"/>
        <v>2022</v>
      </c>
      <c r="C189" s="4">
        <f t="shared" si="5"/>
        <v>8</v>
      </c>
      <c r="D189" t="s">
        <v>20</v>
      </c>
      <c r="E189" t="s">
        <v>46</v>
      </c>
      <c r="F189" t="s">
        <v>11</v>
      </c>
      <c r="G189" t="s">
        <v>53</v>
      </c>
      <c r="H189" t="s">
        <v>54</v>
      </c>
      <c r="I189" s="3">
        <v>15773</v>
      </c>
      <c r="J189" s="4">
        <v>5</v>
      </c>
      <c r="K189" s="2">
        <v>1076.94</v>
      </c>
    </row>
    <row r="190" spans="1:11" x14ac:dyDescent="0.3">
      <c r="A190" s="1">
        <v>44789</v>
      </c>
      <c r="B190" s="4">
        <f t="shared" si="4"/>
        <v>2022</v>
      </c>
      <c r="C190" s="4">
        <f t="shared" si="5"/>
        <v>8</v>
      </c>
      <c r="D190" t="s">
        <v>45</v>
      </c>
      <c r="E190" t="s">
        <v>31</v>
      </c>
      <c r="F190" t="s">
        <v>17</v>
      </c>
      <c r="G190" t="s">
        <v>49</v>
      </c>
      <c r="H190" t="s">
        <v>50</v>
      </c>
      <c r="I190" s="3">
        <v>21703</v>
      </c>
      <c r="J190" s="4">
        <v>2</v>
      </c>
      <c r="K190" s="2">
        <v>1110.31</v>
      </c>
    </row>
    <row r="191" spans="1:11" x14ac:dyDescent="0.3">
      <c r="A191" s="1">
        <v>44793</v>
      </c>
      <c r="B191" s="4">
        <f t="shared" si="4"/>
        <v>2022</v>
      </c>
      <c r="C191" s="4">
        <f t="shared" si="5"/>
        <v>8</v>
      </c>
      <c r="D191" t="s">
        <v>57</v>
      </c>
      <c r="E191" t="s">
        <v>10</v>
      </c>
      <c r="F191" t="s">
        <v>22</v>
      </c>
      <c r="G191" t="s">
        <v>40</v>
      </c>
      <c r="H191" t="s">
        <v>41</v>
      </c>
      <c r="I191" s="3">
        <v>2339</v>
      </c>
      <c r="J191" s="4">
        <v>4</v>
      </c>
      <c r="K191" s="2">
        <v>218.03</v>
      </c>
    </row>
    <row r="192" spans="1:11" x14ac:dyDescent="0.3">
      <c r="A192" s="1">
        <v>44793</v>
      </c>
      <c r="B192" s="4">
        <f t="shared" si="4"/>
        <v>2022</v>
      </c>
      <c r="C192" s="4">
        <f t="shared" si="5"/>
        <v>8</v>
      </c>
      <c r="D192" t="s">
        <v>20</v>
      </c>
      <c r="E192" t="s">
        <v>15</v>
      </c>
      <c r="F192" t="s">
        <v>11</v>
      </c>
      <c r="G192" t="s">
        <v>32</v>
      </c>
      <c r="H192" t="s">
        <v>33</v>
      </c>
      <c r="I192" s="3">
        <v>28330</v>
      </c>
      <c r="J192" s="4">
        <v>1</v>
      </c>
      <c r="K192" s="2">
        <v>4029.13</v>
      </c>
    </row>
    <row r="193" spans="1:11" x14ac:dyDescent="0.3">
      <c r="A193" s="1">
        <v>44794</v>
      </c>
      <c r="B193" s="4">
        <f t="shared" si="4"/>
        <v>2022</v>
      </c>
      <c r="C193" s="4">
        <f t="shared" si="5"/>
        <v>8</v>
      </c>
      <c r="D193" t="s">
        <v>20</v>
      </c>
      <c r="E193" t="s">
        <v>46</v>
      </c>
      <c r="F193" t="s">
        <v>17</v>
      </c>
      <c r="G193" t="s">
        <v>47</v>
      </c>
      <c r="H193" t="s">
        <v>48</v>
      </c>
      <c r="I193" s="3">
        <v>37149</v>
      </c>
      <c r="J193" s="4">
        <v>5</v>
      </c>
      <c r="K193" s="2">
        <v>5978.63</v>
      </c>
    </row>
    <row r="194" spans="1:11" x14ac:dyDescent="0.3">
      <c r="A194" s="1">
        <v>44797</v>
      </c>
      <c r="B194" s="4">
        <f t="shared" ref="B194:B257" si="6">YEAR(A194)</f>
        <v>2022</v>
      </c>
      <c r="C194" s="4">
        <f t="shared" ref="C194:C257" si="7">MONTH(A194)</f>
        <v>8</v>
      </c>
      <c r="D194" t="s">
        <v>20</v>
      </c>
      <c r="E194" t="s">
        <v>15</v>
      </c>
      <c r="F194" t="s">
        <v>17</v>
      </c>
      <c r="G194" t="s">
        <v>47</v>
      </c>
      <c r="H194" t="s">
        <v>48</v>
      </c>
      <c r="I194" s="3">
        <v>23692</v>
      </c>
      <c r="J194" s="4">
        <v>6</v>
      </c>
      <c r="K194" s="2">
        <v>2715.17</v>
      </c>
    </row>
    <row r="195" spans="1:11" x14ac:dyDescent="0.3">
      <c r="A195" s="1">
        <v>44806</v>
      </c>
      <c r="B195" s="4">
        <f t="shared" si="6"/>
        <v>2022</v>
      </c>
      <c r="C195" s="4">
        <f t="shared" si="7"/>
        <v>9</v>
      </c>
      <c r="D195" t="s">
        <v>28</v>
      </c>
      <c r="E195" t="s">
        <v>15</v>
      </c>
      <c r="F195" t="s">
        <v>11</v>
      </c>
      <c r="G195" t="s">
        <v>37</v>
      </c>
      <c r="H195" t="s">
        <v>38</v>
      </c>
      <c r="I195" s="3">
        <v>15767</v>
      </c>
      <c r="J195" s="4">
        <v>2</v>
      </c>
      <c r="K195" s="2">
        <v>905.74</v>
      </c>
    </row>
    <row r="196" spans="1:11" x14ac:dyDescent="0.3">
      <c r="A196" s="1">
        <v>44809</v>
      </c>
      <c r="B196" s="4">
        <f t="shared" si="6"/>
        <v>2022</v>
      </c>
      <c r="C196" s="4">
        <f t="shared" si="7"/>
        <v>9</v>
      </c>
      <c r="D196" t="s">
        <v>45</v>
      </c>
      <c r="E196" t="s">
        <v>10</v>
      </c>
      <c r="F196" t="s">
        <v>17</v>
      </c>
      <c r="G196" t="s">
        <v>35</v>
      </c>
      <c r="H196" t="s">
        <v>36</v>
      </c>
      <c r="I196" s="3">
        <v>10846</v>
      </c>
      <c r="J196" s="4">
        <v>10</v>
      </c>
      <c r="K196" s="2">
        <v>933.52</v>
      </c>
    </row>
    <row r="197" spans="1:11" x14ac:dyDescent="0.3">
      <c r="A197" s="1">
        <v>44810</v>
      </c>
      <c r="B197" s="4">
        <f t="shared" si="6"/>
        <v>2022</v>
      </c>
      <c r="C197" s="4">
        <f t="shared" si="7"/>
        <v>9</v>
      </c>
      <c r="D197" t="s">
        <v>20</v>
      </c>
      <c r="E197" t="s">
        <v>10</v>
      </c>
      <c r="F197" t="s">
        <v>22</v>
      </c>
      <c r="G197" t="s">
        <v>55</v>
      </c>
      <c r="H197" t="s">
        <v>56</v>
      </c>
      <c r="I197" s="3">
        <v>31934</v>
      </c>
      <c r="J197" s="4">
        <v>2</v>
      </c>
      <c r="K197" s="2">
        <v>3326.52</v>
      </c>
    </row>
    <row r="198" spans="1:11" x14ac:dyDescent="0.3">
      <c r="A198" s="1">
        <v>44811</v>
      </c>
      <c r="B198" s="4">
        <f t="shared" si="6"/>
        <v>2022</v>
      </c>
      <c r="C198" s="4">
        <f t="shared" si="7"/>
        <v>9</v>
      </c>
      <c r="D198" t="s">
        <v>16</v>
      </c>
      <c r="E198" t="s">
        <v>31</v>
      </c>
      <c r="F198" t="s">
        <v>22</v>
      </c>
      <c r="G198" t="s">
        <v>40</v>
      </c>
      <c r="H198" t="s">
        <v>41</v>
      </c>
      <c r="I198" s="3">
        <v>24871</v>
      </c>
      <c r="J198" s="4">
        <v>3</v>
      </c>
      <c r="K198" s="2">
        <v>4058.01</v>
      </c>
    </row>
    <row r="199" spans="1:11" x14ac:dyDescent="0.3">
      <c r="A199" s="1">
        <v>44824</v>
      </c>
      <c r="B199" s="4">
        <f t="shared" si="6"/>
        <v>2022</v>
      </c>
      <c r="C199" s="4">
        <f t="shared" si="7"/>
        <v>9</v>
      </c>
      <c r="D199" t="s">
        <v>42</v>
      </c>
      <c r="E199" t="s">
        <v>10</v>
      </c>
      <c r="F199" t="s">
        <v>17</v>
      </c>
      <c r="G199" t="s">
        <v>47</v>
      </c>
      <c r="H199" t="s">
        <v>48</v>
      </c>
      <c r="I199" s="3">
        <v>29423</v>
      </c>
      <c r="J199" s="4">
        <v>10</v>
      </c>
      <c r="K199" s="2">
        <v>4638.5200000000004</v>
      </c>
    </row>
    <row r="200" spans="1:11" x14ac:dyDescent="0.3">
      <c r="A200" s="1">
        <v>44828</v>
      </c>
      <c r="B200" s="4">
        <f t="shared" si="6"/>
        <v>2022</v>
      </c>
      <c r="C200" s="4">
        <f t="shared" si="7"/>
        <v>9</v>
      </c>
      <c r="D200" t="s">
        <v>9</v>
      </c>
      <c r="E200" t="s">
        <v>31</v>
      </c>
      <c r="F200" t="s">
        <v>17</v>
      </c>
      <c r="G200" t="s">
        <v>26</v>
      </c>
      <c r="H200" t="s">
        <v>52</v>
      </c>
      <c r="I200" s="3">
        <v>29346</v>
      </c>
      <c r="J200" s="4">
        <v>6</v>
      </c>
      <c r="K200" s="2">
        <v>4818.67</v>
      </c>
    </row>
    <row r="201" spans="1:11" x14ac:dyDescent="0.3">
      <c r="A201" s="1">
        <v>44835</v>
      </c>
      <c r="B201" s="4">
        <f t="shared" si="6"/>
        <v>2022</v>
      </c>
      <c r="C201" s="4">
        <f t="shared" si="7"/>
        <v>10</v>
      </c>
      <c r="D201" t="s">
        <v>20</v>
      </c>
      <c r="E201" t="s">
        <v>39</v>
      </c>
      <c r="F201" t="s">
        <v>17</v>
      </c>
      <c r="G201" t="s">
        <v>18</v>
      </c>
      <c r="H201" t="s">
        <v>19</v>
      </c>
      <c r="I201" s="3">
        <v>37935</v>
      </c>
      <c r="J201" s="4">
        <v>7</v>
      </c>
      <c r="K201" s="2">
        <v>4153.8100000000004</v>
      </c>
    </row>
    <row r="202" spans="1:11" x14ac:dyDescent="0.3">
      <c r="A202" s="1">
        <v>44835</v>
      </c>
      <c r="B202" s="4">
        <f t="shared" si="6"/>
        <v>2022</v>
      </c>
      <c r="C202" s="4">
        <f t="shared" si="7"/>
        <v>10</v>
      </c>
      <c r="D202" t="s">
        <v>14</v>
      </c>
      <c r="E202" t="s">
        <v>46</v>
      </c>
      <c r="F202" t="s">
        <v>11</v>
      </c>
      <c r="G202" t="s">
        <v>32</v>
      </c>
      <c r="H202" t="s">
        <v>33</v>
      </c>
      <c r="I202" s="3">
        <v>22683</v>
      </c>
      <c r="J202" s="4">
        <v>8</v>
      </c>
      <c r="K202" s="2">
        <v>3802.59</v>
      </c>
    </row>
    <row r="203" spans="1:11" x14ac:dyDescent="0.3">
      <c r="A203" s="1">
        <v>44838</v>
      </c>
      <c r="B203" s="4">
        <f t="shared" si="6"/>
        <v>2022</v>
      </c>
      <c r="C203" s="4">
        <f t="shared" si="7"/>
        <v>10</v>
      </c>
      <c r="D203" t="s">
        <v>45</v>
      </c>
      <c r="E203" t="s">
        <v>21</v>
      </c>
      <c r="F203" t="s">
        <v>17</v>
      </c>
      <c r="G203" t="s">
        <v>35</v>
      </c>
      <c r="H203" t="s">
        <v>36</v>
      </c>
      <c r="I203" s="3">
        <v>37932</v>
      </c>
      <c r="J203" s="4">
        <v>7</v>
      </c>
      <c r="K203" s="2">
        <v>5159.13</v>
      </c>
    </row>
    <row r="204" spans="1:11" x14ac:dyDescent="0.3">
      <c r="A204" s="1">
        <v>44838</v>
      </c>
      <c r="B204" s="4">
        <f t="shared" si="6"/>
        <v>2022</v>
      </c>
      <c r="C204" s="4">
        <f t="shared" si="7"/>
        <v>10</v>
      </c>
      <c r="D204" t="s">
        <v>42</v>
      </c>
      <c r="E204" t="s">
        <v>10</v>
      </c>
      <c r="F204" t="s">
        <v>17</v>
      </c>
      <c r="G204" t="s">
        <v>26</v>
      </c>
      <c r="H204" t="s">
        <v>52</v>
      </c>
      <c r="I204" s="3">
        <v>24288</v>
      </c>
      <c r="J204" s="4">
        <v>5</v>
      </c>
      <c r="K204" s="2">
        <v>1713.99</v>
      </c>
    </row>
    <row r="205" spans="1:11" x14ac:dyDescent="0.3">
      <c r="A205" s="1">
        <v>44841</v>
      </c>
      <c r="B205" s="4">
        <f t="shared" si="6"/>
        <v>2022</v>
      </c>
      <c r="C205" s="4">
        <f t="shared" si="7"/>
        <v>10</v>
      </c>
      <c r="D205" t="s">
        <v>45</v>
      </c>
      <c r="E205" t="s">
        <v>15</v>
      </c>
      <c r="F205" t="s">
        <v>17</v>
      </c>
      <c r="G205" t="s">
        <v>35</v>
      </c>
      <c r="H205" t="s">
        <v>36</v>
      </c>
      <c r="I205" s="3">
        <v>16741</v>
      </c>
      <c r="J205" s="4">
        <v>6</v>
      </c>
      <c r="K205" s="2">
        <v>1128.1500000000001</v>
      </c>
    </row>
    <row r="206" spans="1:11" x14ac:dyDescent="0.3">
      <c r="A206" s="1">
        <v>44844</v>
      </c>
      <c r="B206" s="4">
        <f t="shared" si="6"/>
        <v>2022</v>
      </c>
      <c r="C206" s="4">
        <f t="shared" si="7"/>
        <v>10</v>
      </c>
      <c r="D206" t="s">
        <v>28</v>
      </c>
      <c r="E206" t="s">
        <v>15</v>
      </c>
      <c r="F206" t="s">
        <v>11</v>
      </c>
      <c r="G206" t="s">
        <v>37</v>
      </c>
      <c r="H206" t="s">
        <v>38</v>
      </c>
      <c r="I206" s="3">
        <v>49474</v>
      </c>
      <c r="J206" s="4">
        <v>2</v>
      </c>
      <c r="K206" s="2">
        <v>2542.83</v>
      </c>
    </row>
    <row r="207" spans="1:11" x14ac:dyDescent="0.3">
      <c r="A207" s="1">
        <v>44845</v>
      </c>
      <c r="B207" s="4">
        <f t="shared" si="6"/>
        <v>2022</v>
      </c>
      <c r="C207" s="4">
        <f t="shared" si="7"/>
        <v>10</v>
      </c>
      <c r="D207" t="s">
        <v>28</v>
      </c>
      <c r="E207" t="s">
        <v>46</v>
      </c>
      <c r="F207" t="s">
        <v>11</v>
      </c>
      <c r="G207" t="s">
        <v>12</v>
      </c>
      <c r="H207" t="s">
        <v>13</v>
      </c>
      <c r="I207" s="3">
        <v>8849</v>
      </c>
      <c r="J207" s="4">
        <v>7</v>
      </c>
      <c r="K207" s="2">
        <v>1585.05</v>
      </c>
    </row>
    <row r="208" spans="1:11" x14ac:dyDescent="0.3">
      <c r="A208" s="1">
        <v>44846</v>
      </c>
      <c r="B208" s="4">
        <f t="shared" si="6"/>
        <v>2022</v>
      </c>
      <c r="C208" s="4">
        <f t="shared" si="7"/>
        <v>10</v>
      </c>
      <c r="D208" t="s">
        <v>57</v>
      </c>
      <c r="E208" t="s">
        <v>21</v>
      </c>
      <c r="F208" t="s">
        <v>22</v>
      </c>
      <c r="G208" t="s">
        <v>43</v>
      </c>
      <c r="H208" t="s">
        <v>44</v>
      </c>
      <c r="I208" s="3">
        <v>31644</v>
      </c>
      <c r="J208" s="4">
        <v>6</v>
      </c>
      <c r="K208" s="2">
        <v>4242.6099999999997</v>
      </c>
    </row>
    <row r="209" spans="1:11" x14ac:dyDescent="0.3">
      <c r="A209" s="1">
        <v>44854</v>
      </c>
      <c r="B209" s="4">
        <f t="shared" si="6"/>
        <v>2022</v>
      </c>
      <c r="C209" s="4">
        <f t="shared" si="7"/>
        <v>10</v>
      </c>
      <c r="D209" t="s">
        <v>9</v>
      </c>
      <c r="E209" t="s">
        <v>10</v>
      </c>
      <c r="F209" t="s">
        <v>11</v>
      </c>
      <c r="G209" t="s">
        <v>32</v>
      </c>
      <c r="H209" t="s">
        <v>33</v>
      </c>
      <c r="I209" s="3">
        <v>18904</v>
      </c>
      <c r="J209" s="4">
        <v>1</v>
      </c>
      <c r="K209" s="2">
        <v>3519.75</v>
      </c>
    </row>
    <row r="210" spans="1:11" x14ac:dyDescent="0.3">
      <c r="A210" s="1">
        <v>44856</v>
      </c>
      <c r="B210" s="4">
        <f t="shared" si="6"/>
        <v>2022</v>
      </c>
      <c r="C210" s="4">
        <f t="shared" si="7"/>
        <v>10</v>
      </c>
      <c r="D210" t="s">
        <v>34</v>
      </c>
      <c r="E210" t="s">
        <v>21</v>
      </c>
      <c r="F210" t="s">
        <v>11</v>
      </c>
      <c r="G210" t="s">
        <v>53</v>
      </c>
      <c r="H210" t="s">
        <v>54</v>
      </c>
      <c r="I210" s="3">
        <v>16470</v>
      </c>
      <c r="J210" s="4">
        <v>7</v>
      </c>
      <c r="K210" s="2">
        <v>3086.12</v>
      </c>
    </row>
    <row r="211" spans="1:11" x14ac:dyDescent="0.3">
      <c r="A211" s="1">
        <v>44857</v>
      </c>
      <c r="B211" s="4">
        <f t="shared" si="6"/>
        <v>2022</v>
      </c>
      <c r="C211" s="4">
        <f t="shared" si="7"/>
        <v>10</v>
      </c>
      <c r="D211" t="s">
        <v>14</v>
      </c>
      <c r="E211" t="s">
        <v>21</v>
      </c>
      <c r="F211" t="s">
        <v>22</v>
      </c>
      <c r="G211" t="s">
        <v>43</v>
      </c>
      <c r="H211" t="s">
        <v>59</v>
      </c>
      <c r="I211" s="3">
        <v>46686</v>
      </c>
      <c r="J211" s="4">
        <v>4</v>
      </c>
      <c r="K211" s="2">
        <v>4757.47</v>
      </c>
    </row>
    <row r="212" spans="1:11" x14ac:dyDescent="0.3">
      <c r="A212" s="1">
        <v>44859</v>
      </c>
      <c r="B212" s="4">
        <f t="shared" si="6"/>
        <v>2022</v>
      </c>
      <c r="C212" s="4">
        <f t="shared" si="7"/>
        <v>10</v>
      </c>
      <c r="D212" t="s">
        <v>57</v>
      </c>
      <c r="E212" t="s">
        <v>15</v>
      </c>
      <c r="F212" t="s">
        <v>11</v>
      </c>
      <c r="G212" t="s">
        <v>37</v>
      </c>
      <c r="H212" t="s">
        <v>38</v>
      </c>
      <c r="I212" s="3">
        <v>46340</v>
      </c>
      <c r="J212" s="4">
        <v>5</v>
      </c>
      <c r="K212" s="2">
        <v>4328.16</v>
      </c>
    </row>
    <row r="213" spans="1:11" x14ac:dyDescent="0.3">
      <c r="A213" s="1">
        <v>44859</v>
      </c>
      <c r="B213" s="4">
        <f t="shared" si="6"/>
        <v>2022</v>
      </c>
      <c r="C213" s="4">
        <f t="shared" si="7"/>
        <v>10</v>
      </c>
      <c r="D213" t="s">
        <v>42</v>
      </c>
      <c r="E213" t="s">
        <v>39</v>
      </c>
      <c r="F213" t="s">
        <v>17</v>
      </c>
      <c r="G213" t="s">
        <v>47</v>
      </c>
      <c r="H213" t="s">
        <v>48</v>
      </c>
      <c r="I213" s="3">
        <v>4103</v>
      </c>
      <c r="J213" s="4">
        <v>1</v>
      </c>
      <c r="K213" s="2">
        <v>296.06</v>
      </c>
    </row>
    <row r="214" spans="1:11" x14ac:dyDescent="0.3">
      <c r="A214" s="1">
        <v>44862</v>
      </c>
      <c r="B214" s="4">
        <f t="shared" si="6"/>
        <v>2022</v>
      </c>
      <c r="C214" s="4">
        <f t="shared" si="7"/>
        <v>10</v>
      </c>
      <c r="D214" t="s">
        <v>34</v>
      </c>
      <c r="E214" t="s">
        <v>39</v>
      </c>
      <c r="F214" t="s">
        <v>17</v>
      </c>
      <c r="G214" t="s">
        <v>35</v>
      </c>
      <c r="H214" t="s">
        <v>36</v>
      </c>
      <c r="I214" s="3">
        <v>11463</v>
      </c>
      <c r="J214" s="4">
        <v>10</v>
      </c>
      <c r="K214" s="2">
        <v>1364.26</v>
      </c>
    </row>
    <row r="215" spans="1:11" x14ac:dyDescent="0.3">
      <c r="A215" s="1">
        <v>44864</v>
      </c>
      <c r="B215" s="4">
        <f t="shared" si="6"/>
        <v>2022</v>
      </c>
      <c r="C215" s="4">
        <f t="shared" si="7"/>
        <v>10</v>
      </c>
      <c r="D215" t="s">
        <v>45</v>
      </c>
      <c r="E215" t="s">
        <v>21</v>
      </c>
      <c r="F215" t="s">
        <v>11</v>
      </c>
      <c r="G215" t="s">
        <v>53</v>
      </c>
      <c r="H215" t="s">
        <v>54</v>
      </c>
      <c r="I215" s="3">
        <v>24845</v>
      </c>
      <c r="J215" s="4">
        <v>5</v>
      </c>
      <c r="K215" s="2">
        <v>4285.12</v>
      </c>
    </row>
    <row r="216" spans="1:11" x14ac:dyDescent="0.3">
      <c r="A216" s="1">
        <v>44869</v>
      </c>
      <c r="B216" s="4">
        <f t="shared" si="6"/>
        <v>2022</v>
      </c>
      <c r="C216" s="4">
        <f t="shared" si="7"/>
        <v>11</v>
      </c>
      <c r="D216" t="s">
        <v>57</v>
      </c>
      <c r="E216" t="s">
        <v>21</v>
      </c>
      <c r="F216" t="s">
        <v>17</v>
      </c>
      <c r="G216" t="s">
        <v>49</v>
      </c>
      <c r="H216" t="s">
        <v>50</v>
      </c>
      <c r="I216" s="3">
        <v>18458</v>
      </c>
      <c r="J216" s="4">
        <v>2</v>
      </c>
      <c r="K216" s="2">
        <v>3599.93</v>
      </c>
    </row>
    <row r="217" spans="1:11" x14ac:dyDescent="0.3">
      <c r="A217" s="1">
        <v>44869</v>
      </c>
      <c r="B217" s="4">
        <f t="shared" si="6"/>
        <v>2022</v>
      </c>
      <c r="C217" s="4">
        <f t="shared" si="7"/>
        <v>11</v>
      </c>
      <c r="D217" t="s">
        <v>34</v>
      </c>
      <c r="E217" t="s">
        <v>10</v>
      </c>
      <c r="F217" t="s">
        <v>11</v>
      </c>
      <c r="G217" t="s">
        <v>53</v>
      </c>
      <c r="H217" t="s">
        <v>54</v>
      </c>
      <c r="I217" s="3">
        <v>56059</v>
      </c>
      <c r="J217" s="4">
        <v>9</v>
      </c>
      <c r="K217" s="2">
        <v>5998.39</v>
      </c>
    </row>
    <row r="218" spans="1:11" x14ac:dyDescent="0.3">
      <c r="A218" s="1">
        <v>44879</v>
      </c>
      <c r="B218" s="4">
        <f t="shared" si="6"/>
        <v>2022</v>
      </c>
      <c r="C218" s="4">
        <f t="shared" si="7"/>
        <v>11</v>
      </c>
      <c r="D218" t="s">
        <v>9</v>
      </c>
      <c r="E218" t="s">
        <v>15</v>
      </c>
      <c r="F218" t="s">
        <v>11</v>
      </c>
      <c r="G218" t="s">
        <v>37</v>
      </c>
      <c r="H218" t="s">
        <v>38</v>
      </c>
      <c r="I218" s="3">
        <v>51260</v>
      </c>
      <c r="J218" s="4">
        <v>3</v>
      </c>
      <c r="K218" s="2">
        <v>3150.28</v>
      </c>
    </row>
    <row r="219" spans="1:11" x14ac:dyDescent="0.3">
      <c r="A219" s="1">
        <v>44879</v>
      </c>
      <c r="B219" s="4">
        <f t="shared" si="6"/>
        <v>2022</v>
      </c>
      <c r="C219" s="4">
        <f t="shared" si="7"/>
        <v>11</v>
      </c>
      <c r="D219" t="s">
        <v>34</v>
      </c>
      <c r="E219" t="s">
        <v>21</v>
      </c>
      <c r="F219" t="s">
        <v>22</v>
      </c>
      <c r="G219" t="s">
        <v>29</v>
      </c>
      <c r="H219" t="s">
        <v>30</v>
      </c>
      <c r="I219" s="3">
        <v>5541</v>
      </c>
      <c r="J219" s="4">
        <v>10</v>
      </c>
      <c r="K219" s="2">
        <v>828.61</v>
      </c>
    </row>
    <row r="220" spans="1:11" x14ac:dyDescent="0.3">
      <c r="A220" s="1">
        <v>44888</v>
      </c>
      <c r="B220" s="4">
        <f t="shared" si="6"/>
        <v>2022</v>
      </c>
      <c r="C220" s="4">
        <f t="shared" si="7"/>
        <v>11</v>
      </c>
      <c r="D220" t="s">
        <v>16</v>
      </c>
      <c r="E220" t="s">
        <v>21</v>
      </c>
      <c r="F220" t="s">
        <v>22</v>
      </c>
      <c r="G220" t="s">
        <v>55</v>
      </c>
      <c r="H220" t="s">
        <v>56</v>
      </c>
      <c r="I220" s="3">
        <v>36068</v>
      </c>
      <c r="J220" s="4">
        <v>10</v>
      </c>
      <c r="K220" s="2">
        <v>2509.94</v>
      </c>
    </row>
    <row r="221" spans="1:11" x14ac:dyDescent="0.3">
      <c r="A221" s="1">
        <v>44896</v>
      </c>
      <c r="B221" s="4">
        <f t="shared" si="6"/>
        <v>2022</v>
      </c>
      <c r="C221" s="4">
        <f t="shared" si="7"/>
        <v>12</v>
      </c>
      <c r="D221" t="s">
        <v>42</v>
      </c>
      <c r="E221" t="s">
        <v>31</v>
      </c>
      <c r="F221" t="s">
        <v>22</v>
      </c>
      <c r="G221" t="s">
        <v>43</v>
      </c>
      <c r="H221" t="s">
        <v>59</v>
      </c>
      <c r="I221" s="3">
        <v>50410</v>
      </c>
      <c r="J221" s="4">
        <v>8</v>
      </c>
      <c r="K221" s="2">
        <v>3972.35</v>
      </c>
    </row>
    <row r="222" spans="1:11" x14ac:dyDescent="0.3">
      <c r="A222" s="1">
        <v>44899</v>
      </c>
      <c r="B222" s="4">
        <f t="shared" si="6"/>
        <v>2022</v>
      </c>
      <c r="C222" s="4">
        <f t="shared" si="7"/>
        <v>12</v>
      </c>
      <c r="D222" t="s">
        <v>42</v>
      </c>
      <c r="E222" t="s">
        <v>10</v>
      </c>
      <c r="F222" t="s">
        <v>11</v>
      </c>
      <c r="G222" t="s">
        <v>12</v>
      </c>
      <c r="H222" t="s">
        <v>13</v>
      </c>
      <c r="I222" s="3">
        <v>42665</v>
      </c>
      <c r="J222" s="4">
        <v>2</v>
      </c>
      <c r="K222" s="2">
        <v>6466.77</v>
      </c>
    </row>
    <row r="223" spans="1:11" x14ac:dyDescent="0.3">
      <c r="A223" s="1">
        <v>44901</v>
      </c>
      <c r="B223" s="4">
        <f t="shared" si="6"/>
        <v>2022</v>
      </c>
      <c r="C223" s="4">
        <f t="shared" si="7"/>
        <v>12</v>
      </c>
      <c r="D223" t="s">
        <v>57</v>
      </c>
      <c r="E223" t="s">
        <v>31</v>
      </c>
      <c r="F223" t="s">
        <v>22</v>
      </c>
      <c r="G223" t="s">
        <v>40</v>
      </c>
      <c r="H223" t="s">
        <v>41</v>
      </c>
      <c r="I223" s="3">
        <v>37270</v>
      </c>
      <c r="J223" s="4">
        <v>9</v>
      </c>
      <c r="K223" s="2">
        <v>3661.43</v>
      </c>
    </row>
    <row r="224" spans="1:11" x14ac:dyDescent="0.3">
      <c r="A224" s="1">
        <v>44903</v>
      </c>
      <c r="B224" s="4">
        <f t="shared" si="6"/>
        <v>2022</v>
      </c>
      <c r="C224" s="4">
        <f t="shared" si="7"/>
        <v>12</v>
      </c>
      <c r="D224" t="s">
        <v>28</v>
      </c>
      <c r="E224" t="s">
        <v>46</v>
      </c>
      <c r="F224" t="s">
        <v>22</v>
      </c>
      <c r="G224" t="s">
        <v>43</v>
      </c>
      <c r="H224" t="s">
        <v>59</v>
      </c>
      <c r="I224" s="3">
        <v>28374</v>
      </c>
      <c r="J224" s="4">
        <v>2</v>
      </c>
      <c r="K224" s="2">
        <v>2624.23</v>
      </c>
    </row>
    <row r="225" spans="1:11" x14ac:dyDescent="0.3">
      <c r="A225" s="1">
        <v>44903</v>
      </c>
      <c r="B225" s="4">
        <f t="shared" si="6"/>
        <v>2022</v>
      </c>
      <c r="C225" s="4">
        <f t="shared" si="7"/>
        <v>12</v>
      </c>
      <c r="D225" t="s">
        <v>34</v>
      </c>
      <c r="E225" t="s">
        <v>31</v>
      </c>
      <c r="F225" t="s">
        <v>17</v>
      </c>
      <c r="G225" t="s">
        <v>47</v>
      </c>
      <c r="H225" t="s">
        <v>48</v>
      </c>
      <c r="I225" s="3">
        <v>16002</v>
      </c>
      <c r="J225" s="4">
        <v>2</v>
      </c>
      <c r="K225" s="2">
        <v>2651.93</v>
      </c>
    </row>
    <row r="226" spans="1:11" x14ac:dyDescent="0.3">
      <c r="A226" s="1">
        <v>44904</v>
      </c>
      <c r="B226" s="4">
        <f t="shared" si="6"/>
        <v>2022</v>
      </c>
      <c r="C226" s="4">
        <f t="shared" si="7"/>
        <v>12</v>
      </c>
      <c r="D226" t="s">
        <v>14</v>
      </c>
      <c r="E226" t="s">
        <v>39</v>
      </c>
      <c r="F226" t="s">
        <v>17</v>
      </c>
      <c r="G226" t="s">
        <v>18</v>
      </c>
      <c r="H226" t="s">
        <v>19</v>
      </c>
      <c r="I226" s="3">
        <v>47945</v>
      </c>
      <c r="J226" s="4">
        <v>6</v>
      </c>
      <c r="K226" s="2">
        <v>5535.69</v>
      </c>
    </row>
    <row r="227" spans="1:11" x14ac:dyDescent="0.3">
      <c r="A227" s="1">
        <v>44906</v>
      </c>
      <c r="B227" s="4">
        <f t="shared" si="6"/>
        <v>2022</v>
      </c>
      <c r="C227" s="4">
        <f t="shared" si="7"/>
        <v>12</v>
      </c>
      <c r="D227" t="s">
        <v>20</v>
      </c>
      <c r="E227" t="s">
        <v>31</v>
      </c>
      <c r="F227" t="s">
        <v>17</v>
      </c>
      <c r="G227" t="s">
        <v>47</v>
      </c>
      <c r="H227" t="s">
        <v>48</v>
      </c>
      <c r="I227" s="3">
        <v>29191</v>
      </c>
      <c r="J227" s="4">
        <v>5</v>
      </c>
      <c r="K227" s="2">
        <v>4731.88</v>
      </c>
    </row>
    <row r="228" spans="1:11" x14ac:dyDescent="0.3">
      <c r="A228" s="1">
        <v>44907</v>
      </c>
      <c r="B228" s="4">
        <f t="shared" si="6"/>
        <v>2022</v>
      </c>
      <c r="C228" s="4">
        <f t="shared" si="7"/>
        <v>12</v>
      </c>
      <c r="D228" t="s">
        <v>57</v>
      </c>
      <c r="E228" t="s">
        <v>31</v>
      </c>
      <c r="F228" t="s">
        <v>17</v>
      </c>
      <c r="G228" t="s">
        <v>49</v>
      </c>
      <c r="H228" t="s">
        <v>50</v>
      </c>
      <c r="I228" s="3">
        <v>34475</v>
      </c>
      <c r="J228" s="4">
        <v>9</v>
      </c>
      <c r="K228" s="2">
        <v>5772.77</v>
      </c>
    </row>
    <row r="229" spans="1:11" x14ac:dyDescent="0.3">
      <c r="A229" s="1">
        <v>44914</v>
      </c>
      <c r="B229" s="4">
        <f t="shared" si="6"/>
        <v>2022</v>
      </c>
      <c r="C229" s="4">
        <f t="shared" si="7"/>
        <v>12</v>
      </c>
      <c r="D229" t="s">
        <v>57</v>
      </c>
      <c r="E229" t="s">
        <v>15</v>
      </c>
      <c r="F229" t="s">
        <v>22</v>
      </c>
      <c r="G229" t="s">
        <v>43</v>
      </c>
      <c r="H229" t="s">
        <v>59</v>
      </c>
      <c r="I229" s="3">
        <v>55602</v>
      </c>
      <c r="J229" s="4">
        <v>9</v>
      </c>
      <c r="K229" s="2">
        <v>5845.67</v>
      </c>
    </row>
    <row r="230" spans="1:11" x14ac:dyDescent="0.3">
      <c r="A230" s="1">
        <v>44916</v>
      </c>
      <c r="B230" s="4">
        <f t="shared" si="6"/>
        <v>2022</v>
      </c>
      <c r="C230" s="4">
        <f t="shared" si="7"/>
        <v>12</v>
      </c>
      <c r="D230" t="s">
        <v>42</v>
      </c>
      <c r="E230" t="s">
        <v>21</v>
      </c>
      <c r="F230" t="s">
        <v>11</v>
      </c>
      <c r="G230" t="s">
        <v>32</v>
      </c>
      <c r="H230" t="s">
        <v>33</v>
      </c>
      <c r="I230" s="3">
        <v>47869</v>
      </c>
      <c r="J230" s="4">
        <v>3</v>
      </c>
      <c r="K230" s="2">
        <v>4089.94</v>
      </c>
    </row>
    <row r="231" spans="1:11" x14ac:dyDescent="0.3">
      <c r="A231" s="1">
        <v>44916</v>
      </c>
      <c r="B231" s="4">
        <f t="shared" si="6"/>
        <v>2022</v>
      </c>
      <c r="C231" s="4">
        <f t="shared" si="7"/>
        <v>12</v>
      </c>
      <c r="D231" t="s">
        <v>20</v>
      </c>
      <c r="E231" t="s">
        <v>21</v>
      </c>
      <c r="F231" t="s">
        <v>17</v>
      </c>
      <c r="G231" t="s">
        <v>26</v>
      </c>
      <c r="H231" t="s">
        <v>27</v>
      </c>
      <c r="I231" s="3">
        <v>28340</v>
      </c>
      <c r="J231" s="4">
        <v>6</v>
      </c>
      <c r="K231" s="2">
        <v>4779.87</v>
      </c>
    </row>
    <row r="232" spans="1:11" x14ac:dyDescent="0.3">
      <c r="A232" s="1">
        <v>44917</v>
      </c>
      <c r="B232" s="4">
        <f t="shared" si="6"/>
        <v>2022</v>
      </c>
      <c r="C232" s="4">
        <f t="shared" si="7"/>
        <v>12</v>
      </c>
      <c r="D232" t="s">
        <v>42</v>
      </c>
      <c r="E232" t="s">
        <v>10</v>
      </c>
      <c r="F232" t="s">
        <v>17</v>
      </c>
      <c r="G232" t="s">
        <v>47</v>
      </c>
      <c r="H232" t="s">
        <v>48</v>
      </c>
      <c r="I232" s="3">
        <v>6989</v>
      </c>
      <c r="J232" s="4">
        <v>10</v>
      </c>
      <c r="K232" s="2">
        <v>881.4</v>
      </c>
    </row>
    <row r="233" spans="1:11" x14ac:dyDescent="0.3">
      <c r="A233" s="1">
        <v>44921</v>
      </c>
      <c r="B233" s="4">
        <f t="shared" si="6"/>
        <v>2022</v>
      </c>
      <c r="C233" s="4">
        <f t="shared" si="7"/>
        <v>12</v>
      </c>
      <c r="D233" t="s">
        <v>45</v>
      </c>
      <c r="E233" t="s">
        <v>15</v>
      </c>
      <c r="F233" t="s">
        <v>17</v>
      </c>
      <c r="G233" t="s">
        <v>49</v>
      </c>
      <c r="H233" t="s">
        <v>51</v>
      </c>
      <c r="I233" s="3">
        <v>51325</v>
      </c>
      <c r="J233" s="4">
        <v>9</v>
      </c>
      <c r="K233" s="2">
        <v>9372.98</v>
      </c>
    </row>
    <row r="234" spans="1:11" x14ac:dyDescent="0.3">
      <c r="A234" s="1">
        <v>44929</v>
      </c>
      <c r="B234" s="4">
        <f t="shared" si="6"/>
        <v>2023</v>
      </c>
      <c r="C234" s="4">
        <f t="shared" si="7"/>
        <v>1</v>
      </c>
      <c r="D234" t="s">
        <v>57</v>
      </c>
      <c r="E234" t="s">
        <v>10</v>
      </c>
      <c r="F234" t="s">
        <v>11</v>
      </c>
      <c r="G234" t="s">
        <v>32</v>
      </c>
      <c r="H234" t="s">
        <v>33</v>
      </c>
      <c r="I234" s="3">
        <v>58823</v>
      </c>
      <c r="J234" s="4">
        <v>8</v>
      </c>
      <c r="K234" s="2">
        <v>11368.33</v>
      </c>
    </row>
    <row r="235" spans="1:11" x14ac:dyDescent="0.3">
      <c r="A235" s="1">
        <v>44930</v>
      </c>
      <c r="B235" s="4">
        <f t="shared" si="6"/>
        <v>2023</v>
      </c>
      <c r="C235" s="4">
        <f t="shared" si="7"/>
        <v>1</v>
      </c>
      <c r="D235" t="s">
        <v>25</v>
      </c>
      <c r="E235" t="s">
        <v>31</v>
      </c>
      <c r="F235" t="s">
        <v>17</v>
      </c>
      <c r="G235" t="s">
        <v>49</v>
      </c>
      <c r="H235" t="s">
        <v>51</v>
      </c>
      <c r="I235" s="3">
        <v>51972</v>
      </c>
      <c r="J235" s="4">
        <v>4</v>
      </c>
      <c r="K235" s="2">
        <v>7189.18</v>
      </c>
    </row>
    <row r="236" spans="1:11" x14ac:dyDescent="0.3">
      <c r="A236" s="1">
        <v>44932</v>
      </c>
      <c r="B236" s="4">
        <f t="shared" si="6"/>
        <v>2023</v>
      </c>
      <c r="C236" s="4">
        <f t="shared" si="7"/>
        <v>1</v>
      </c>
      <c r="D236" t="s">
        <v>45</v>
      </c>
      <c r="E236" t="s">
        <v>15</v>
      </c>
      <c r="F236" t="s">
        <v>22</v>
      </c>
      <c r="G236" t="s">
        <v>29</v>
      </c>
      <c r="H236" t="s">
        <v>30</v>
      </c>
      <c r="I236" s="3">
        <v>828</v>
      </c>
      <c r="J236" s="4">
        <v>8</v>
      </c>
      <c r="K236" s="2">
        <v>58.36</v>
      </c>
    </row>
    <row r="237" spans="1:11" x14ac:dyDescent="0.3">
      <c r="A237" s="1">
        <v>44933</v>
      </c>
      <c r="B237" s="4">
        <f t="shared" si="6"/>
        <v>2023</v>
      </c>
      <c r="C237" s="4">
        <f t="shared" si="7"/>
        <v>1</v>
      </c>
      <c r="D237" t="s">
        <v>9</v>
      </c>
      <c r="E237" t="s">
        <v>39</v>
      </c>
      <c r="F237" t="s">
        <v>11</v>
      </c>
      <c r="G237" t="s">
        <v>53</v>
      </c>
      <c r="H237" t="s">
        <v>54</v>
      </c>
      <c r="I237" s="3">
        <v>46182</v>
      </c>
      <c r="J237" s="4">
        <v>9</v>
      </c>
      <c r="K237" s="2">
        <v>6422.67</v>
      </c>
    </row>
    <row r="238" spans="1:11" x14ac:dyDescent="0.3">
      <c r="A238" s="1">
        <v>44935</v>
      </c>
      <c r="B238" s="4">
        <f t="shared" si="6"/>
        <v>2023</v>
      </c>
      <c r="C238" s="4">
        <f t="shared" si="7"/>
        <v>1</v>
      </c>
      <c r="D238" t="s">
        <v>28</v>
      </c>
      <c r="E238" t="s">
        <v>46</v>
      </c>
      <c r="F238" t="s">
        <v>22</v>
      </c>
      <c r="G238" t="s">
        <v>43</v>
      </c>
      <c r="H238" t="s">
        <v>59</v>
      </c>
      <c r="I238" s="3">
        <v>450</v>
      </c>
      <c r="J238" s="4">
        <v>7</v>
      </c>
      <c r="K238" s="2">
        <v>28.41</v>
      </c>
    </row>
    <row r="239" spans="1:11" x14ac:dyDescent="0.3">
      <c r="A239" s="1">
        <v>44940</v>
      </c>
      <c r="B239" s="4">
        <f t="shared" si="6"/>
        <v>2023</v>
      </c>
      <c r="C239" s="4">
        <f t="shared" si="7"/>
        <v>1</v>
      </c>
      <c r="D239" t="s">
        <v>20</v>
      </c>
      <c r="E239" t="s">
        <v>15</v>
      </c>
      <c r="F239" t="s">
        <v>22</v>
      </c>
      <c r="G239" t="s">
        <v>23</v>
      </c>
      <c r="H239" t="s">
        <v>24</v>
      </c>
      <c r="I239" s="3">
        <v>57787</v>
      </c>
      <c r="J239" s="4">
        <v>5</v>
      </c>
      <c r="K239" s="2">
        <v>4964.93</v>
      </c>
    </row>
    <row r="240" spans="1:11" x14ac:dyDescent="0.3">
      <c r="A240" s="1">
        <v>44946</v>
      </c>
      <c r="B240" s="4">
        <f t="shared" si="6"/>
        <v>2023</v>
      </c>
      <c r="C240" s="4">
        <f t="shared" si="7"/>
        <v>1</v>
      </c>
      <c r="D240" t="s">
        <v>45</v>
      </c>
      <c r="E240" t="s">
        <v>39</v>
      </c>
      <c r="F240" t="s">
        <v>22</v>
      </c>
      <c r="G240" t="s">
        <v>43</v>
      </c>
      <c r="H240" t="s">
        <v>44</v>
      </c>
      <c r="I240" s="3">
        <v>50260</v>
      </c>
      <c r="J240" s="4">
        <v>7</v>
      </c>
      <c r="K240" s="2">
        <v>5271.8</v>
      </c>
    </row>
    <row r="241" spans="1:11" x14ac:dyDescent="0.3">
      <c r="A241" s="1">
        <v>44946</v>
      </c>
      <c r="B241" s="4">
        <f t="shared" si="6"/>
        <v>2023</v>
      </c>
      <c r="C241" s="4">
        <f t="shared" si="7"/>
        <v>1</v>
      </c>
      <c r="D241" t="s">
        <v>57</v>
      </c>
      <c r="E241" t="s">
        <v>10</v>
      </c>
      <c r="F241" t="s">
        <v>17</v>
      </c>
      <c r="G241" t="s">
        <v>18</v>
      </c>
      <c r="H241" t="s">
        <v>19</v>
      </c>
      <c r="I241" s="3">
        <v>21563</v>
      </c>
      <c r="J241" s="4">
        <v>4</v>
      </c>
      <c r="K241" s="2">
        <v>2558.0700000000002</v>
      </c>
    </row>
    <row r="242" spans="1:11" x14ac:dyDescent="0.3">
      <c r="A242" s="1">
        <v>44950</v>
      </c>
      <c r="B242" s="4">
        <f t="shared" si="6"/>
        <v>2023</v>
      </c>
      <c r="C242" s="4">
        <f t="shared" si="7"/>
        <v>1</v>
      </c>
      <c r="D242" t="s">
        <v>28</v>
      </c>
      <c r="E242" t="s">
        <v>10</v>
      </c>
      <c r="F242" t="s">
        <v>17</v>
      </c>
      <c r="G242" t="s">
        <v>35</v>
      </c>
      <c r="H242" t="s">
        <v>36</v>
      </c>
      <c r="I242" s="3">
        <v>10509</v>
      </c>
      <c r="J242" s="4">
        <v>5</v>
      </c>
      <c r="K242" s="2">
        <v>1744.49</v>
      </c>
    </row>
    <row r="243" spans="1:11" x14ac:dyDescent="0.3">
      <c r="A243" s="1">
        <v>44952</v>
      </c>
      <c r="B243" s="4">
        <f t="shared" si="6"/>
        <v>2023</v>
      </c>
      <c r="C243" s="4">
        <f t="shared" si="7"/>
        <v>1</v>
      </c>
      <c r="D243" t="s">
        <v>9</v>
      </c>
      <c r="E243" t="s">
        <v>15</v>
      </c>
      <c r="F243" t="s">
        <v>22</v>
      </c>
      <c r="G243" t="s">
        <v>23</v>
      </c>
      <c r="H243" t="s">
        <v>24</v>
      </c>
      <c r="I243" s="3">
        <v>54706</v>
      </c>
      <c r="J243" s="4">
        <v>5</v>
      </c>
      <c r="K243" s="2">
        <v>3364.95</v>
      </c>
    </row>
    <row r="244" spans="1:11" x14ac:dyDescent="0.3">
      <c r="A244" s="1">
        <v>44953</v>
      </c>
      <c r="B244" s="4">
        <f t="shared" si="6"/>
        <v>2023</v>
      </c>
      <c r="C244" s="4">
        <f t="shared" si="7"/>
        <v>1</v>
      </c>
      <c r="D244" t="s">
        <v>16</v>
      </c>
      <c r="E244" t="s">
        <v>46</v>
      </c>
      <c r="F244" t="s">
        <v>17</v>
      </c>
      <c r="G244" t="s">
        <v>47</v>
      </c>
      <c r="H244" t="s">
        <v>48</v>
      </c>
      <c r="I244" s="3">
        <v>12427</v>
      </c>
      <c r="J244" s="4">
        <v>8</v>
      </c>
      <c r="K244" s="2">
        <v>704.52</v>
      </c>
    </row>
    <row r="245" spans="1:11" x14ac:dyDescent="0.3">
      <c r="A245" s="1">
        <v>44960</v>
      </c>
      <c r="B245" s="4">
        <f t="shared" si="6"/>
        <v>2023</v>
      </c>
      <c r="C245" s="4">
        <f t="shared" si="7"/>
        <v>2</v>
      </c>
      <c r="D245" t="s">
        <v>34</v>
      </c>
      <c r="E245" t="s">
        <v>10</v>
      </c>
      <c r="F245" t="s">
        <v>11</v>
      </c>
      <c r="G245" t="s">
        <v>32</v>
      </c>
      <c r="H245" t="s">
        <v>33</v>
      </c>
      <c r="I245" s="3">
        <v>18739</v>
      </c>
      <c r="J245" s="4">
        <v>7</v>
      </c>
      <c r="K245" s="2">
        <v>2085.94</v>
      </c>
    </row>
    <row r="246" spans="1:11" x14ac:dyDescent="0.3">
      <c r="A246" s="1">
        <v>44962</v>
      </c>
      <c r="B246" s="4">
        <f t="shared" si="6"/>
        <v>2023</v>
      </c>
      <c r="C246" s="4">
        <f t="shared" si="7"/>
        <v>2</v>
      </c>
      <c r="D246" t="s">
        <v>34</v>
      </c>
      <c r="E246" t="s">
        <v>21</v>
      </c>
      <c r="F246" t="s">
        <v>11</v>
      </c>
      <c r="G246" t="s">
        <v>37</v>
      </c>
      <c r="H246" t="s">
        <v>38</v>
      </c>
      <c r="I246" s="3">
        <v>46372</v>
      </c>
      <c r="J246" s="4">
        <v>7</v>
      </c>
      <c r="K246" s="2">
        <v>6394.81</v>
      </c>
    </row>
    <row r="247" spans="1:11" x14ac:dyDescent="0.3">
      <c r="A247" s="1">
        <v>44963</v>
      </c>
      <c r="B247" s="4">
        <f t="shared" si="6"/>
        <v>2023</v>
      </c>
      <c r="C247" s="4">
        <f t="shared" si="7"/>
        <v>2</v>
      </c>
      <c r="D247" t="s">
        <v>28</v>
      </c>
      <c r="E247" t="s">
        <v>10</v>
      </c>
      <c r="F247" t="s">
        <v>11</v>
      </c>
      <c r="G247" t="s">
        <v>32</v>
      </c>
      <c r="H247" t="s">
        <v>33</v>
      </c>
      <c r="I247" s="3">
        <v>25833</v>
      </c>
      <c r="J247" s="4">
        <v>8</v>
      </c>
      <c r="K247" s="2">
        <v>4284.4399999999996</v>
      </c>
    </row>
    <row r="248" spans="1:11" x14ac:dyDescent="0.3">
      <c r="A248" s="1">
        <v>44966</v>
      </c>
      <c r="B248" s="4">
        <f t="shared" si="6"/>
        <v>2023</v>
      </c>
      <c r="C248" s="4">
        <f t="shared" si="7"/>
        <v>2</v>
      </c>
      <c r="D248" t="s">
        <v>34</v>
      </c>
      <c r="E248" t="s">
        <v>39</v>
      </c>
      <c r="F248" t="s">
        <v>22</v>
      </c>
      <c r="G248" t="s">
        <v>40</v>
      </c>
      <c r="H248" t="s">
        <v>41</v>
      </c>
      <c r="I248" s="3">
        <v>5459</v>
      </c>
      <c r="J248" s="4">
        <v>9</v>
      </c>
      <c r="K248" s="2">
        <v>381.85</v>
      </c>
    </row>
    <row r="249" spans="1:11" x14ac:dyDescent="0.3">
      <c r="A249" s="1">
        <v>44968</v>
      </c>
      <c r="B249" s="4">
        <f t="shared" si="6"/>
        <v>2023</v>
      </c>
      <c r="C249" s="4">
        <f t="shared" si="7"/>
        <v>2</v>
      </c>
      <c r="D249" t="s">
        <v>20</v>
      </c>
      <c r="E249" t="s">
        <v>46</v>
      </c>
      <c r="F249" t="s">
        <v>11</v>
      </c>
      <c r="G249" t="s">
        <v>37</v>
      </c>
      <c r="H249" t="s">
        <v>38</v>
      </c>
      <c r="I249" s="3">
        <v>56009</v>
      </c>
      <c r="J249" s="4">
        <v>6</v>
      </c>
      <c r="K249" s="2">
        <v>6656.65</v>
      </c>
    </row>
    <row r="250" spans="1:11" x14ac:dyDescent="0.3">
      <c r="A250" s="1">
        <v>44972</v>
      </c>
      <c r="B250" s="4">
        <f t="shared" si="6"/>
        <v>2023</v>
      </c>
      <c r="C250" s="4">
        <f t="shared" si="7"/>
        <v>2</v>
      </c>
      <c r="D250" t="s">
        <v>28</v>
      </c>
      <c r="E250" t="s">
        <v>21</v>
      </c>
      <c r="F250" t="s">
        <v>22</v>
      </c>
      <c r="G250" t="s">
        <v>29</v>
      </c>
      <c r="H250" t="s">
        <v>30</v>
      </c>
      <c r="I250" s="3">
        <v>5364</v>
      </c>
      <c r="J250" s="4">
        <v>9</v>
      </c>
      <c r="K250" s="2">
        <v>504.09</v>
      </c>
    </row>
    <row r="251" spans="1:11" x14ac:dyDescent="0.3">
      <c r="A251" s="1">
        <v>44976</v>
      </c>
      <c r="B251" s="4">
        <f t="shared" si="6"/>
        <v>2023</v>
      </c>
      <c r="C251" s="4">
        <f t="shared" si="7"/>
        <v>2</v>
      </c>
      <c r="D251" t="s">
        <v>57</v>
      </c>
      <c r="E251" t="s">
        <v>21</v>
      </c>
      <c r="F251" t="s">
        <v>11</v>
      </c>
      <c r="G251" t="s">
        <v>37</v>
      </c>
      <c r="H251" t="s">
        <v>38</v>
      </c>
      <c r="I251" s="3">
        <v>30756</v>
      </c>
      <c r="J251" s="4">
        <v>9</v>
      </c>
      <c r="K251" s="2">
        <v>4530.6099999999997</v>
      </c>
    </row>
    <row r="252" spans="1:11" x14ac:dyDescent="0.3">
      <c r="A252" s="1">
        <v>44978</v>
      </c>
      <c r="B252" s="4">
        <f t="shared" si="6"/>
        <v>2023</v>
      </c>
      <c r="C252" s="4">
        <f t="shared" si="7"/>
        <v>2</v>
      </c>
      <c r="D252" t="s">
        <v>57</v>
      </c>
      <c r="E252" t="s">
        <v>39</v>
      </c>
      <c r="F252" t="s">
        <v>22</v>
      </c>
      <c r="G252" t="s">
        <v>23</v>
      </c>
      <c r="H252" t="s">
        <v>24</v>
      </c>
      <c r="I252" s="3">
        <v>37681</v>
      </c>
      <c r="J252" s="4">
        <v>6</v>
      </c>
      <c r="K252" s="2">
        <v>5132.97</v>
      </c>
    </row>
    <row r="253" spans="1:11" x14ac:dyDescent="0.3">
      <c r="A253" s="1">
        <v>44981</v>
      </c>
      <c r="B253" s="4">
        <f t="shared" si="6"/>
        <v>2023</v>
      </c>
      <c r="C253" s="4">
        <f t="shared" si="7"/>
        <v>2</v>
      </c>
      <c r="D253" t="s">
        <v>25</v>
      </c>
      <c r="E253" t="s">
        <v>15</v>
      </c>
      <c r="F253" t="s">
        <v>17</v>
      </c>
      <c r="G253" t="s">
        <v>35</v>
      </c>
      <c r="H253" t="s">
        <v>36</v>
      </c>
      <c r="I253" s="3">
        <v>10035</v>
      </c>
      <c r="J253" s="4">
        <v>3</v>
      </c>
      <c r="K253" s="2">
        <v>1903.38</v>
      </c>
    </row>
    <row r="254" spans="1:11" x14ac:dyDescent="0.3">
      <c r="A254" s="1">
        <v>44982</v>
      </c>
      <c r="B254" s="4">
        <f t="shared" si="6"/>
        <v>2023</v>
      </c>
      <c r="C254" s="4">
        <f t="shared" si="7"/>
        <v>2</v>
      </c>
      <c r="D254" t="s">
        <v>42</v>
      </c>
      <c r="E254" t="s">
        <v>39</v>
      </c>
      <c r="F254" t="s">
        <v>17</v>
      </c>
      <c r="G254" t="s">
        <v>35</v>
      </c>
      <c r="H254" t="s">
        <v>36</v>
      </c>
      <c r="I254" s="3">
        <v>12691</v>
      </c>
      <c r="J254" s="4">
        <v>10</v>
      </c>
      <c r="K254" s="2">
        <v>1602.06</v>
      </c>
    </row>
    <row r="255" spans="1:11" x14ac:dyDescent="0.3">
      <c r="A255" s="1">
        <v>44992</v>
      </c>
      <c r="B255" s="4">
        <f t="shared" si="6"/>
        <v>2023</v>
      </c>
      <c r="C255" s="4">
        <f t="shared" si="7"/>
        <v>3</v>
      </c>
      <c r="D255" t="s">
        <v>14</v>
      </c>
      <c r="E255" t="s">
        <v>46</v>
      </c>
      <c r="F255" t="s">
        <v>17</v>
      </c>
      <c r="G255" t="s">
        <v>18</v>
      </c>
      <c r="H255" t="s">
        <v>19</v>
      </c>
      <c r="I255" s="3">
        <v>29929</v>
      </c>
      <c r="J255" s="4">
        <v>6</v>
      </c>
      <c r="K255" s="2">
        <v>4506.5</v>
      </c>
    </row>
    <row r="256" spans="1:11" x14ac:dyDescent="0.3">
      <c r="A256" s="1">
        <v>44992</v>
      </c>
      <c r="B256" s="4">
        <f t="shared" si="6"/>
        <v>2023</v>
      </c>
      <c r="C256" s="4">
        <f t="shared" si="7"/>
        <v>3</v>
      </c>
      <c r="D256" t="s">
        <v>28</v>
      </c>
      <c r="E256" t="s">
        <v>31</v>
      </c>
      <c r="F256" t="s">
        <v>22</v>
      </c>
      <c r="G256" t="s">
        <v>40</v>
      </c>
      <c r="H256" t="s">
        <v>41</v>
      </c>
      <c r="I256" s="3">
        <v>48482</v>
      </c>
      <c r="J256" s="4">
        <v>1</v>
      </c>
      <c r="K256" s="2">
        <v>6664.02</v>
      </c>
    </row>
    <row r="257" spans="1:11" x14ac:dyDescent="0.3">
      <c r="A257" s="1">
        <v>44993</v>
      </c>
      <c r="B257" s="4">
        <f t="shared" si="6"/>
        <v>2023</v>
      </c>
      <c r="C257" s="4">
        <f t="shared" si="7"/>
        <v>3</v>
      </c>
      <c r="D257" t="s">
        <v>9</v>
      </c>
      <c r="E257" t="s">
        <v>15</v>
      </c>
      <c r="F257" t="s">
        <v>22</v>
      </c>
      <c r="G257" t="s">
        <v>29</v>
      </c>
      <c r="H257" t="s">
        <v>58</v>
      </c>
      <c r="I257" s="3">
        <v>491</v>
      </c>
      <c r="J257" s="4">
        <v>4</v>
      </c>
      <c r="K257" s="2">
        <v>39.71</v>
      </c>
    </row>
    <row r="258" spans="1:11" x14ac:dyDescent="0.3">
      <c r="A258" s="1">
        <v>45005</v>
      </c>
      <c r="B258" s="4">
        <f t="shared" ref="B258:B321" si="8">YEAR(A258)</f>
        <v>2023</v>
      </c>
      <c r="C258" s="4">
        <f t="shared" ref="C258:C321" si="9">MONTH(A258)</f>
        <v>3</v>
      </c>
      <c r="D258" t="s">
        <v>42</v>
      </c>
      <c r="E258" t="s">
        <v>21</v>
      </c>
      <c r="F258" t="s">
        <v>17</v>
      </c>
      <c r="G258" t="s">
        <v>18</v>
      </c>
      <c r="H258" t="s">
        <v>19</v>
      </c>
      <c r="I258" s="3">
        <v>53833</v>
      </c>
      <c r="J258" s="4">
        <v>6</v>
      </c>
      <c r="K258" s="2">
        <v>10400.07</v>
      </c>
    </row>
    <row r="259" spans="1:11" x14ac:dyDescent="0.3">
      <c r="A259" s="1">
        <v>45007</v>
      </c>
      <c r="B259" s="4">
        <f t="shared" si="8"/>
        <v>2023</v>
      </c>
      <c r="C259" s="4">
        <f t="shared" si="9"/>
        <v>3</v>
      </c>
      <c r="D259" t="s">
        <v>42</v>
      </c>
      <c r="E259" t="s">
        <v>31</v>
      </c>
      <c r="F259" t="s">
        <v>22</v>
      </c>
      <c r="G259" t="s">
        <v>43</v>
      </c>
      <c r="H259" t="s">
        <v>44</v>
      </c>
      <c r="I259" s="3">
        <v>58178</v>
      </c>
      <c r="J259" s="4">
        <v>8</v>
      </c>
      <c r="K259" s="2">
        <v>4155.7</v>
      </c>
    </row>
    <row r="260" spans="1:11" x14ac:dyDescent="0.3">
      <c r="A260" s="1">
        <v>45007</v>
      </c>
      <c r="B260" s="4">
        <f t="shared" si="8"/>
        <v>2023</v>
      </c>
      <c r="C260" s="4">
        <f t="shared" si="9"/>
        <v>3</v>
      </c>
      <c r="D260" t="s">
        <v>25</v>
      </c>
      <c r="E260" t="s">
        <v>10</v>
      </c>
      <c r="F260" t="s">
        <v>11</v>
      </c>
      <c r="G260" t="s">
        <v>53</v>
      </c>
      <c r="H260" t="s">
        <v>54</v>
      </c>
      <c r="I260" s="3">
        <v>58499</v>
      </c>
      <c r="J260" s="4">
        <v>6</v>
      </c>
      <c r="K260" s="2">
        <v>8984.1</v>
      </c>
    </row>
    <row r="261" spans="1:11" x14ac:dyDescent="0.3">
      <c r="A261" s="1">
        <v>45013</v>
      </c>
      <c r="B261" s="4">
        <f t="shared" si="8"/>
        <v>2023</v>
      </c>
      <c r="C261" s="4">
        <f t="shared" si="9"/>
        <v>3</v>
      </c>
      <c r="D261" t="s">
        <v>9</v>
      </c>
      <c r="E261" t="s">
        <v>21</v>
      </c>
      <c r="F261" t="s">
        <v>22</v>
      </c>
      <c r="G261" t="s">
        <v>55</v>
      </c>
      <c r="H261" t="s">
        <v>56</v>
      </c>
      <c r="I261" s="3">
        <v>8769</v>
      </c>
      <c r="J261" s="4">
        <v>6</v>
      </c>
      <c r="K261" s="2">
        <v>1115.83</v>
      </c>
    </row>
    <row r="262" spans="1:11" x14ac:dyDescent="0.3">
      <c r="A262" s="1">
        <v>45014</v>
      </c>
      <c r="B262" s="4">
        <f t="shared" si="8"/>
        <v>2023</v>
      </c>
      <c r="C262" s="4">
        <f t="shared" si="9"/>
        <v>3</v>
      </c>
      <c r="D262" t="s">
        <v>14</v>
      </c>
      <c r="E262" t="s">
        <v>46</v>
      </c>
      <c r="F262" t="s">
        <v>11</v>
      </c>
      <c r="G262" t="s">
        <v>32</v>
      </c>
      <c r="H262" t="s">
        <v>33</v>
      </c>
      <c r="I262" s="3">
        <v>44219</v>
      </c>
      <c r="J262" s="4">
        <v>6</v>
      </c>
      <c r="K262" s="2">
        <v>5116.8</v>
      </c>
    </row>
    <row r="263" spans="1:11" x14ac:dyDescent="0.3">
      <c r="A263" s="1">
        <v>45018</v>
      </c>
      <c r="B263" s="4">
        <f t="shared" si="8"/>
        <v>2023</v>
      </c>
      <c r="C263" s="4">
        <f t="shared" si="9"/>
        <v>4</v>
      </c>
      <c r="D263" t="s">
        <v>28</v>
      </c>
      <c r="E263" t="s">
        <v>10</v>
      </c>
      <c r="F263" t="s">
        <v>17</v>
      </c>
      <c r="G263" t="s">
        <v>26</v>
      </c>
      <c r="H263" t="s">
        <v>27</v>
      </c>
      <c r="I263" s="3">
        <v>17746</v>
      </c>
      <c r="J263" s="4">
        <v>2</v>
      </c>
      <c r="K263" s="2">
        <v>1448.92</v>
      </c>
    </row>
    <row r="264" spans="1:11" x14ac:dyDescent="0.3">
      <c r="A264" s="1">
        <v>45023</v>
      </c>
      <c r="B264" s="4">
        <f t="shared" si="8"/>
        <v>2023</v>
      </c>
      <c r="C264" s="4">
        <f t="shared" si="9"/>
        <v>4</v>
      </c>
      <c r="D264" t="s">
        <v>25</v>
      </c>
      <c r="E264" t="s">
        <v>39</v>
      </c>
      <c r="F264" t="s">
        <v>11</v>
      </c>
      <c r="G264" t="s">
        <v>12</v>
      </c>
      <c r="H264" t="s">
        <v>13</v>
      </c>
      <c r="I264" s="3">
        <v>27223</v>
      </c>
      <c r="J264" s="4">
        <v>1</v>
      </c>
      <c r="K264" s="2">
        <v>3636.17</v>
      </c>
    </row>
    <row r="265" spans="1:11" x14ac:dyDescent="0.3">
      <c r="A265" s="1">
        <v>45028</v>
      </c>
      <c r="B265" s="4">
        <f t="shared" si="8"/>
        <v>2023</v>
      </c>
      <c r="C265" s="4">
        <f t="shared" si="9"/>
        <v>4</v>
      </c>
      <c r="D265" t="s">
        <v>20</v>
      </c>
      <c r="E265" t="s">
        <v>21</v>
      </c>
      <c r="F265" t="s">
        <v>22</v>
      </c>
      <c r="G265" t="s">
        <v>23</v>
      </c>
      <c r="H265" t="s">
        <v>60</v>
      </c>
      <c r="I265" s="3">
        <v>30280</v>
      </c>
      <c r="J265" s="4">
        <v>10</v>
      </c>
      <c r="K265" s="2">
        <v>2618.65</v>
      </c>
    </row>
    <row r="266" spans="1:11" x14ac:dyDescent="0.3">
      <c r="A266" s="1">
        <v>45035</v>
      </c>
      <c r="B266" s="4">
        <f t="shared" si="8"/>
        <v>2023</v>
      </c>
      <c r="C266" s="4">
        <f t="shared" si="9"/>
        <v>4</v>
      </c>
      <c r="D266" t="s">
        <v>34</v>
      </c>
      <c r="E266" t="s">
        <v>10</v>
      </c>
      <c r="F266" t="s">
        <v>11</v>
      </c>
      <c r="G266" t="s">
        <v>53</v>
      </c>
      <c r="H266" t="s">
        <v>54</v>
      </c>
      <c r="I266" s="3">
        <v>54158</v>
      </c>
      <c r="J266" s="4">
        <v>10</v>
      </c>
      <c r="K266" s="2">
        <v>3307.03</v>
      </c>
    </row>
    <row r="267" spans="1:11" x14ac:dyDescent="0.3">
      <c r="A267" s="1">
        <v>45038</v>
      </c>
      <c r="B267" s="4">
        <f t="shared" si="8"/>
        <v>2023</v>
      </c>
      <c r="C267" s="4">
        <f t="shared" si="9"/>
        <v>4</v>
      </c>
      <c r="D267" t="s">
        <v>9</v>
      </c>
      <c r="E267" t="s">
        <v>39</v>
      </c>
      <c r="F267" t="s">
        <v>22</v>
      </c>
      <c r="G267" t="s">
        <v>55</v>
      </c>
      <c r="H267" t="s">
        <v>56</v>
      </c>
      <c r="I267" s="3">
        <v>30806</v>
      </c>
      <c r="J267" s="4">
        <v>1</v>
      </c>
      <c r="K267" s="2">
        <v>4651.8500000000004</v>
      </c>
    </row>
    <row r="268" spans="1:11" x14ac:dyDescent="0.3">
      <c r="A268" s="1">
        <v>45038</v>
      </c>
      <c r="B268" s="4">
        <f t="shared" si="8"/>
        <v>2023</v>
      </c>
      <c r="C268" s="4">
        <f t="shared" si="9"/>
        <v>4</v>
      </c>
      <c r="D268" t="s">
        <v>28</v>
      </c>
      <c r="E268" t="s">
        <v>21</v>
      </c>
      <c r="F268" t="s">
        <v>11</v>
      </c>
      <c r="G268" t="s">
        <v>53</v>
      </c>
      <c r="H268" t="s">
        <v>54</v>
      </c>
      <c r="I268" s="3">
        <v>24074</v>
      </c>
      <c r="J268" s="4">
        <v>4</v>
      </c>
      <c r="K268" s="2">
        <v>4704.9799999999996</v>
      </c>
    </row>
    <row r="269" spans="1:11" x14ac:dyDescent="0.3">
      <c r="A269" s="1">
        <v>45039</v>
      </c>
      <c r="B269" s="4">
        <f t="shared" si="8"/>
        <v>2023</v>
      </c>
      <c r="C269" s="4">
        <f t="shared" si="9"/>
        <v>4</v>
      </c>
      <c r="D269" t="s">
        <v>42</v>
      </c>
      <c r="E269" t="s">
        <v>10</v>
      </c>
      <c r="F269" t="s">
        <v>11</v>
      </c>
      <c r="G269" t="s">
        <v>12</v>
      </c>
      <c r="H269" t="s">
        <v>13</v>
      </c>
      <c r="I269" s="3">
        <v>4085</v>
      </c>
      <c r="J269" s="4">
        <v>5</v>
      </c>
      <c r="K269" s="2">
        <v>735.53</v>
      </c>
    </row>
    <row r="270" spans="1:11" x14ac:dyDescent="0.3">
      <c r="A270" s="1">
        <v>45040</v>
      </c>
      <c r="B270" s="4">
        <f t="shared" si="8"/>
        <v>2023</v>
      </c>
      <c r="C270" s="4">
        <f t="shared" si="9"/>
        <v>4</v>
      </c>
      <c r="D270" t="s">
        <v>45</v>
      </c>
      <c r="E270" t="s">
        <v>15</v>
      </c>
      <c r="F270" t="s">
        <v>17</v>
      </c>
      <c r="G270" t="s">
        <v>49</v>
      </c>
      <c r="H270" t="s">
        <v>50</v>
      </c>
      <c r="I270" s="3">
        <v>45660</v>
      </c>
      <c r="J270" s="4">
        <v>8</v>
      </c>
      <c r="K270" s="2">
        <v>4257</v>
      </c>
    </row>
    <row r="271" spans="1:11" x14ac:dyDescent="0.3">
      <c r="A271" s="1">
        <v>45040</v>
      </c>
      <c r="B271" s="4">
        <f t="shared" si="8"/>
        <v>2023</v>
      </c>
      <c r="C271" s="4">
        <f t="shared" si="9"/>
        <v>4</v>
      </c>
      <c r="D271" t="s">
        <v>9</v>
      </c>
      <c r="E271" t="s">
        <v>39</v>
      </c>
      <c r="F271" t="s">
        <v>22</v>
      </c>
      <c r="G271" t="s">
        <v>43</v>
      </c>
      <c r="H271" t="s">
        <v>59</v>
      </c>
      <c r="I271" s="3">
        <v>40575</v>
      </c>
      <c r="J271" s="4">
        <v>8</v>
      </c>
      <c r="K271" s="2">
        <v>7262.7</v>
      </c>
    </row>
    <row r="272" spans="1:11" x14ac:dyDescent="0.3">
      <c r="A272" s="1">
        <v>45043</v>
      </c>
      <c r="B272" s="4">
        <f t="shared" si="8"/>
        <v>2023</v>
      </c>
      <c r="C272" s="4">
        <f t="shared" si="9"/>
        <v>4</v>
      </c>
      <c r="D272" t="s">
        <v>28</v>
      </c>
      <c r="E272" t="s">
        <v>46</v>
      </c>
      <c r="F272" t="s">
        <v>17</v>
      </c>
      <c r="G272" t="s">
        <v>18</v>
      </c>
      <c r="H272" t="s">
        <v>19</v>
      </c>
      <c r="I272" s="3">
        <v>3752</v>
      </c>
      <c r="J272" s="4">
        <v>4</v>
      </c>
      <c r="K272" s="2">
        <v>479.38</v>
      </c>
    </row>
    <row r="273" spans="1:11" x14ac:dyDescent="0.3">
      <c r="A273" s="1">
        <v>45043</v>
      </c>
      <c r="B273" s="4">
        <f t="shared" si="8"/>
        <v>2023</v>
      </c>
      <c r="C273" s="4">
        <f t="shared" si="9"/>
        <v>4</v>
      </c>
      <c r="D273" t="s">
        <v>28</v>
      </c>
      <c r="E273" t="s">
        <v>10</v>
      </c>
      <c r="F273" t="s">
        <v>22</v>
      </c>
      <c r="G273" t="s">
        <v>43</v>
      </c>
      <c r="H273" t="s">
        <v>59</v>
      </c>
      <c r="I273" s="3">
        <v>19893</v>
      </c>
      <c r="J273" s="4">
        <v>5</v>
      </c>
      <c r="K273" s="2">
        <v>1176.54</v>
      </c>
    </row>
    <row r="274" spans="1:11" x14ac:dyDescent="0.3">
      <c r="A274" s="1">
        <v>45048</v>
      </c>
      <c r="B274" s="4">
        <f t="shared" si="8"/>
        <v>2023</v>
      </c>
      <c r="C274" s="4">
        <f t="shared" si="9"/>
        <v>5</v>
      </c>
      <c r="D274" t="s">
        <v>28</v>
      </c>
      <c r="E274" t="s">
        <v>31</v>
      </c>
      <c r="F274" t="s">
        <v>17</v>
      </c>
      <c r="G274" t="s">
        <v>49</v>
      </c>
      <c r="H274" t="s">
        <v>50</v>
      </c>
      <c r="I274" s="3">
        <v>31935</v>
      </c>
      <c r="J274" s="4">
        <v>8</v>
      </c>
      <c r="K274" s="2">
        <v>2574.0700000000002</v>
      </c>
    </row>
    <row r="275" spans="1:11" x14ac:dyDescent="0.3">
      <c r="A275" s="1">
        <v>45053</v>
      </c>
      <c r="B275" s="4">
        <f t="shared" si="8"/>
        <v>2023</v>
      </c>
      <c r="C275" s="4">
        <f t="shared" si="9"/>
        <v>5</v>
      </c>
      <c r="D275" t="s">
        <v>45</v>
      </c>
      <c r="E275" t="s">
        <v>31</v>
      </c>
      <c r="F275" t="s">
        <v>17</v>
      </c>
      <c r="G275" t="s">
        <v>18</v>
      </c>
      <c r="H275" t="s">
        <v>19</v>
      </c>
      <c r="I275" s="3">
        <v>39287</v>
      </c>
      <c r="J275" s="4">
        <v>3</v>
      </c>
      <c r="K275" s="2">
        <v>5351.71</v>
      </c>
    </row>
    <row r="276" spans="1:11" x14ac:dyDescent="0.3">
      <c r="A276" s="1">
        <v>45058</v>
      </c>
      <c r="B276" s="4">
        <f t="shared" si="8"/>
        <v>2023</v>
      </c>
      <c r="C276" s="4">
        <f t="shared" si="9"/>
        <v>5</v>
      </c>
      <c r="D276" t="s">
        <v>57</v>
      </c>
      <c r="E276" t="s">
        <v>15</v>
      </c>
      <c r="F276" t="s">
        <v>11</v>
      </c>
      <c r="G276" t="s">
        <v>12</v>
      </c>
      <c r="H276" t="s">
        <v>13</v>
      </c>
      <c r="I276" s="3">
        <v>43562</v>
      </c>
      <c r="J276" s="4">
        <v>2</v>
      </c>
      <c r="K276" s="2">
        <v>6506.96</v>
      </c>
    </row>
    <row r="277" spans="1:11" x14ac:dyDescent="0.3">
      <c r="A277" s="1">
        <v>45059</v>
      </c>
      <c r="B277" s="4">
        <f t="shared" si="8"/>
        <v>2023</v>
      </c>
      <c r="C277" s="4">
        <f t="shared" si="9"/>
        <v>5</v>
      </c>
      <c r="D277" t="s">
        <v>16</v>
      </c>
      <c r="E277" t="s">
        <v>46</v>
      </c>
      <c r="F277" t="s">
        <v>22</v>
      </c>
      <c r="G277" t="s">
        <v>23</v>
      </c>
      <c r="H277" t="s">
        <v>24</v>
      </c>
      <c r="I277" s="3">
        <v>34677</v>
      </c>
      <c r="J277" s="4">
        <v>2</v>
      </c>
      <c r="K277" s="2">
        <v>5612.47</v>
      </c>
    </row>
    <row r="278" spans="1:11" x14ac:dyDescent="0.3">
      <c r="A278" s="1">
        <v>45061</v>
      </c>
      <c r="B278" s="4">
        <f t="shared" si="8"/>
        <v>2023</v>
      </c>
      <c r="C278" s="4">
        <f t="shared" si="9"/>
        <v>5</v>
      </c>
      <c r="D278" t="s">
        <v>20</v>
      </c>
      <c r="E278" t="s">
        <v>46</v>
      </c>
      <c r="F278" t="s">
        <v>11</v>
      </c>
      <c r="G278" t="s">
        <v>37</v>
      </c>
      <c r="H278" t="s">
        <v>38</v>
      </c>
      <c r="I278" s="3">
        <v>45684</v>
      </c>
      <c r="J278" s="4">
        <v>3</v>
      </c>
      <c r="K278" s="2">
        <v>5557.69</v>
      </c>
    </row>
    <row r="279" spans="1:11" x14ac:dyDescent="0.3">
      <c r="A279" s="1">
        <v>45064</v>
      </c>
      <c r="B279" s="4">
        <f t="shared" si="8"/>
        <v>2023</v>
      </c>
      <c r="C279" s="4">
        <f t="shared" si="9"/>
        <v>5</v>
      </c>
      <c r="D279" t="s">
        <v>42</v>
      </c>
      <c r="E279" t="s">
        <v>15</v>
      </c>
      <c r="F279" t="s">
        <v>17</v>
      </c>
      <c r="G279" t="s">
        <v>49</v>
      </c>
      <c r="H279" t="s">
        <v>51</v>
      </c>
      <c r="I279" s="3">
        <v>5335</v>
      </c>
      <c r="J279" s="4">
        <v>7</v>
      </c>
      <c r="K279" s="2">
        <v>428.34</v>
      </c>
    </row>
    <row r="280" spans="1:11" x14ac:dyDescent="0.3">
      <c r="A280" s="1">
        <v>45067</v>
      </c>
      <c r="B280" s="4">
        <f t="shared" si="8"/>
        <v>2023</v>
      </c>
      <c r="C280" s="4">
        <f t="shared" si="9"/>
        <v>5</v>
      </c>
      <c r="D280" t="s">
        <v>14</v>
      </c>
      <c r="E280" t="s">
        <v>46</v>
      </c>
      <c r="F280" t="s">
        <v>11</v>
      </c>
      <c r="G280" t="s">
        <v>12</v>
      </c>
      <c r="H280" t="s">
        <v>13</v>
      </c>
      <c r="I280" s="3">
        <v>14541</v>
      </c>
      <c r="J280" s="4">
        <v>3</v>
      </c>
      <c r="K280" s="2">
        <v>2480.9299999999998</v>
      </c>
    </row>
    <row r="281" spans="1:11" x14ac:dyDescent="0.3">
      <c r="A281" s="1">
        <v>45071</v>
      </c>
      <c r="B281" s="4">
        <f t="shared" si="8"/>
        <v>2023</v>
      </c>
      <c r="C281" s="4">
        <f t="shared" si="9"/>
        <v>5</v>
      </c>
      <c r="D281" t="s">
        <v>42</v>
      </c>
      <c r="E281" t="s">
        <v>10</v>
      </c>
      <c r="F281" t="s">
        <v>22</v>
      </c>
      <c r="G281" t="s">
        <v>23</v>
      </c>
      <c r="H281" t="s">
        <v>60</v>
      </c>
      <c r="I281" s="3">
        <v>20681</v>
      </c>
      <c r="J281" s="4">
        <v>5</v>
      </c>
      <c r="K281" s="2">
        <v>2195.19</v>
      </c>
    </row>
    <row r="282" spans="1:11" x14ac:dyDescent="0.3">
      <c r="A282" s="1">
        <v>45076</v>
      </c>
      <c r="B282" s="4">
        <f t="shared" si="8"/>
        <v>2023</v>
      </c>
      <c r="C282" s="4">
        <f t="shared" si="9"/>
        <v>5</v>
      </c>
      <c r="D282" t="s">
        <v>25</v>
      </c>
      <c r="E282" t="s">
        <v>31</v>
      </c>
      <c r="F282" t="s">
        <v>22</v>
      </c>
      <c r="G282" t="s">
        <v>55</v>
      </c>
      <c r="H282" t="s">
        <v>56</v>
      </c>
      <c r="I282" s="3">
        <v>43157</v>
      </c>
      <c r="J282" s="4">
        <v>2</v>
      </c>
      <c r="K282" s="2">
        <v>6713.27</v>
      </c>
    </row>
    <row r="283" spans="1:11" x14ac:dyDescent="0.3">
      <c r="A283" s="1">
        <v>45078</v>
      </c>
      <c r="B283" s="4">
        <f t="shared" si="8"/>
        <v>2023</v>
      </c>
      <c r="C283" s="4">
        <f t="shared" si="9"/>
        <v>6</v>
      </c>
      <c r="D283" t="s">
        <v>34</v>
      </c>
      <c r="E283" t="s">
        <v>39</v>
      </c>
      <c r="F283" t="s">
        <v>17</v>
      </c>
      <c r="G283" t="s">
        <v>35</v>
      </c>
      <c r="H283" t="s">
        <v>36</v>
      </c>
      <c r="I283" s="3">
        <v>39682</v>
      </c>
      <c r="J283" s="4">
        <v>3</v>
      </c>
      <c r="K283" s="2">
        <v>5230.93</v>
      </c>
    </row>
    <row r="284" spans="1:11" x14ac:dyDescent="0.3">
      <c r="A284" s="1">
        <v>45080</v>
      </c>
      <c r="B284" s="4">
        <f t="shared" si="8"/>
        <v>2023</v>
      </c>
      <c r="C284" s="4">
        <f t="shared" si="9"/>
        <v>6</v>
      </c>
      <c r="D284" t="s">
        <v>9</v>
      </c>
      <c r="E284" t="s">
        <v>10</v>
      </c>
      <c r="F284" t="s">
        <v>11</v>
      </c>
      <c r="G284" t="s">
        <v>32</v>
      </c>
      <c r="H284" t="s">
        <v>33</v>
      </c>
      <c r="I284" s="3">
        <v>4785</v>
      </c>
      <c r="J284" s="4">
        <v>6</v>
      </c>
      <c r="K284" s="2">
        <v>686.52</v>
      </c>
    </row>
    <row r="285" spans="1:11" x14ac:dyDescent="0.3">
      <c r="A285" s="1">
        <v>45083</v>
      </c>
      <c r="B285" s="4">
        <f t="shared" si="8"/>
        <v>2023</v>
      </c>
      <c r="C285" s="4">
        <f t="shared" si="9"/>
        <v>6</v>
      </c>
      <c r="D285" t="s">
        <v>14</v>
      </c>
      <c r="E285" t="s">
        <v>31</v>
      </c>
      <c r="F285" t="s">
        <v>11</v>
      </c>
      <c r="G285" t="s">
        <v>32</v>
      </c>
      <c r="H285" t="s">
        <v>33</v>
      </c>
      <c r="I285" s="3">
        <v>33155</v>
      </c>
      <c r="J285" s="4">
        <v>1</v>
      </c>
      <c r="K285" s="2">
        <v>5792.46</v>
      </c>
    </row>
    <row r="286" spans="1:11" x14ac:dyDescent="0.3">
      <c r="A286" s="1">
        <v>45084</v>
      </c>
      <c r="B286" s="4">
        <f t="shared" si="8"/>
        <v>2023</v>
      </c>
      <c r="C286" s="4">
        <f t="shared" si="9"/>
        <v>6</v>
      </c>
      <c r="D286" t="s">
        <v>45</v>
      </c>
      <c r="E286" t="s">
        <v>31</v>
      </c>
      <c r="F286" t="s">
        <v>22</v>
      </c>
      <c r="G286" t="s">
        <v>40</v>
      </c>
      <c r="H286" t="s">
        <v>41</v>
      </c>
      <c r="I286" s="3">
        <v>23936</v>
      </c>
      <c r="J286" s="4">
        <v>8</v>
      </c>
      <c r="K286" s="2">
        <v>3736.32</v>
      </c>
    </row>
    <row r="287" spans="1:11" x14ac:dyDescent="0.3">
      <c r="A287" s="1">
        <v>45085</v>
      </c>
      <c r="B287" s="4">
        <f t="shared" si="8"/>
        <v>2023</v>
      </c>
      <c r="C287" s="4">
        <f t="shared" si="9"/>
        <v>6</v>
      </c>
      <c r="D287" t="s">
        <v>16</v>
      </c>
      <c r="E287" t="s">
        <v>21</v>
      </c>
      <c r="F287" t="s">
        <v>22</v>
      </c>
      <c r="G287" t="s">
        <v>40</v>
      </c>
      <c r="H287" t="s">
        <v>41</v>
      </c>
      <c r="I287" s="3">
        <v>58394</v>
      </c>
      <c r="J287" s="4">
        <v>3</v>
      </c>
      <c r="K287" s="2">
        <v>5921.73</v>
      </c>
    </row>
    <row r="288" spans="1:11" x14ac:dyDescent="0.3">
      <c r="A288" s="1">
        <v>45089</v>
      </c>
      <c r="B288" s="4">
        <f t="shared" si="8"/>
        <v>2023</v>
      </c>
      <c r="C288" s="4">
        <f t="shared" si="9"/>
        <v>6</v>
      </c>
      <c r="D288" t="s">
        <v>45</v>
      </c>
      <c r="E288" t="s">
        <v>21</v>
      </c>
      <c r="F288" t="s">
        <v>22</v>
      </c>
      <c r="G288" t="s">
        <v>23</v>
      </c>
      <c r="H288" t="s">
        <v>24</v>
      </c>
      <c r="I288" s="3">
        <v>38792</v>
      </c>
      <c r="J288" s="4">
        <v>7</v>
      </c>
      <c r="K288" s="2">
        <v>4988.43</v>
      </c>
    </row>
    <row r="289" spans="1:11" x14ac:dyDescent="0.3">
      <c r="A289" s="1">
        <v>45091</v>
      </c>
      <c r="B289" s="4">
        <f t="shared" si="8"/>
        <v>2023</v>
      </c>
      <c r="C289" s="4">
        <f t="shared" si="9"/>
        <v>6</v>
      </c>
      <c r="D289" t="s">
        <v>42</v>
      </c>
      <c r="E289" t="s">
        <v>10</v>
      </c>
      <c r="F289" t="s">
        <v>22</v>
      </c>
      <c r="G289" t="s">
        <v>43</v>
      </c>
      <c r="H289" t="s">
        <v>59</v>
      </c>
      <c r="I289" s="3">
        <v>52094</v>
      </c>
      <c r="J289" s="4">
        <v>8</v>
      </c>
      <c r="K289" s="2">
        <v>7677.46</v>
      </c>
    </row>
    <row r="290" spans="1:11" x14ac:dyDescent="0.3">
      <c r="A290" s="1">
        <v>45094</v>
      </c>
      <c r="B290" s="4">
        <f t="shared" si="8"/>
        <v>2023</v>
      </c>
      <c r="C290" s="4">
        <f t="shared" si="9"/>
        <v>6</v>
      </c>
      <c r="D290" t="s">
        <v>28</v>
      </c>
      <c r="E290" t="s">
        <v>10</v>
      </c>
      <c r="F290" t="s">
        <v>22</v>
      </c>
      <c r="G290" t="s">
        <v>55</v>
      </c>
      <c r="H290" t="s">
        <v>56</v>
      </c>
      <c r="I290" s="3">
        <v>54840</v>
      </c>
      <c r="J290" s="4">
        <v>9</v>
      </c>
      <c r="K290" s="2">
        <v>8529.32</v>
      </c>
    </row>
    <row r="291" spans="1:11" x14ac:dyDescent="0.3">
      <c r="A291" s="1">
        <v>45094</v>
      </c>
      <c r="B291" s="4">
        <f t="shared" si="8"/>
        <v>2023</v>
      </c>
      <c r="C291" s="4">
        <f t="shared" si="9"/>
        <v>6</v>
      </c>
      <c r="D291" t="s">
        <v>9</v>
      </c>
      <c r="E291" t="s">
        <v>46</v>
      </c>
      <c r="F291" t="s">
        <v>11</v>
      </c>
      <c r="G291" t="s">
        <v>53</v>
      </c>
      <c r="H291" t="s">
        <v>54</v>
      </c>
      <c r="I291" s="3">
        <v>52477</v>
      </c>
      <c r="J291" s="4">
        <v>5</v>
      </c>
      <c r="K291" s="2">
        <v>9167.33</v>
      </c>
    </row>
    <row r="292" spans="1:11" x14ac:dyDescent="0.3">
      <c r="A292" s="1">
        <v>45094</v>
      </c>
      <c r="B292" s="4">
        <f t="shared" si="8"/>
        <v>2023</v>
      </c>
      <c r="C292" s="4">
        <f t="shared" si="9"/>
        <v>6</v>
      </c>
      <c r="D292" t="s">
        <v>57</v>
      </c>
      <c r="E292" t="s">
        <v>39</v>
      </c>
      <c r="F292" t="s">
        <v>22</v>
      </c>
      <c r="G292" t="s">
        <v>40</v>
      </c>
      <c r="H292" t="s">
        <v>41</v>
      </c>
      <c r="I292" s="3">
        <v>47516</v>
      </c>
      <c r="J292" s="4">
        <v>8</v>
      </c>
      <c r="K292" s="2">
        <v>4648.8</v>
      </c>
    </row>
    <row r="293" spans="1:11" x14ac:dyDescent="0.3">
      <c r="A293" s="1">
        <v>45095</v>
      </c>
      <c r="B293" s="4">
        <f t="shared" si="8"/>
        <v>2023</v>
      </c>
      <c r="C293" s="4">
        <f t="shared" si="9"/>
        <v>6</v>
      </c>
      <c r="D293" t="s">
        <v>25</v>
      </c>
      <c r="E293" t="s">
        <v>31</v>
      </c>
      <c r="F293" t="s">
        <v>11</v>
      </c>
      <c r="G293" t="s">
        <v>12</v>
      </c>
      <c r="H293" t="s">
        <v>13</v>
      </c>
      <c r="I293" s="3">
        <v>15557</v>
      </c>
      <c r="J293" s="4">
        <v>9</v>
      </c>
      <c r="K293" s="2">
        <v>1284.8599999999999</v>
      </c>
    </row>
    <row r="294" spans="1:11" x14ac:dyDescent="0.3">
      <c r="A294" s="1">
        <v>45096</v>
      </c>
      <c r="B294" s="4">
        <f t="shared" si="8"/>
        <v>2023</v>
      </c>
      <c r="C294" s="4">
        <f t="shared" si="9"/>
        <v>6</v>
      </c>
      <c r="D294" t="s">
        <v>45</v>
      </c>
      <c r="E294" t="s">
        <v>21</v>
      </c>
      <c r="F294" t="s">
        <v>17</v>
      </c>
      <c r="G294" t="s">
        <v>47</v>
      </c>
      <c r="H294" t="s">
        <v>48</v>
      </c>
      <c r="I294" s="3">
        <v>8349</v>
      </c>
      <c r="J294" s="4">
        <v>8</v>
      </c>
      <c r="K294" s="2">
        <v>1279.92</v>
      </c>
    </row>
    <row r="295" spans="1:11" x14ac:dyDescent="0.3">
      <c r="A295" s="1">
        <v>45097</v>
      </c>
      <c r="B295" s="4">
        <f t="shared" si="8"/>
        <v>2023</v>
      </c>
      <c r="C295" s="4">
        <f t="shared" si="9"/>
        <v>6</v>
      </c>
      <c r="D295" t="s">
        <v>34</v>
      </c>
      <c r="E295" t="s">
        <v>21</v>
      </c>
      <c r="F295" t="s">
        <v>22</v>
      </c>
      <c r="G295" t="s">
        <v>43</v>
      </c>
      <c r="H295" t="s">
        <v>44</v>
      </c>
      <c r="I295" s="3">
        <v>5277</v>
      </c>
      <c r="J295" s="4">
        <v>5</v>
      </c>
      <c r="K295" s="2">
        <v>449.46</v>
      </c>
    </row>
    <row r="296" spans="1:11" x14ac:dyDescent="0.3">
      <c r="A296" s="1">
        <v>45098</v>
      </c>
      <c r="B296" s="4">
        <f t="shared" si="8"/>
        <v>2023</v>
      </c>
      <c r="C296" s="4">
        <f t="shared" si="9"/>
        <v>6</v>
      </c>
      <c r="D296" t="s">
        <v>28</v>
      </c>
      <c r="E296" t="s">
        <v>31</v>
      </c>
      <c r="F296" t="s">
        <v>11</v>
      </c>
      <c r="G296" t="s">
        <v>53</v>
      </c>
      <c r="H296" t="s">
        <v>54</v>
      </c>
      <c r="I296" s="3">
        <v>22137</v>
      </c>
      <c r="J296" s="4">
        <v>7</v>
      </c>
      <c r="K296" s="2">
        <v>3814.68</v>
      </c>
    </row>
    <row r="297" spans="1:11" x14ac:dyDescent="0.3">
      <c r="A297" s="1">
        <v>45099</v>
      </c>
      <c r="B297" s="4">
        <f t="shared" si="8"/>
        <v>2023</v>
      </c>
      <c r="C297" s="4">
        <f t="shared" si="9"/>
        <v>6</v>
      </c>
      <c r="D297" t="s">
        <v>57</v>
      </c>
      <c r="E297" t="s">
        <v>46</v>
      </c>
      <c r="F297" t="s">
        <v>22</v>
      </c>
      <c r="G297" t="s">
        <v>40</v>
      </c>
      <c r="H297" t="s">
        <v>41</v>
      </c>
      <c r="I297" s="3">
        <v>22528</v>
      </c>
      <c r="J297" s="4">
        <v>3</v>
      </c>
      <c r="K297" s="2">
        <v>4389.01</v>
      </c>
    </row>
    <row r="298" spans="1:11" x14ac:dyDescent="0.3">
      <c r="A298" s="1">
        <v>45099</v>
      </c>
      <c r="B298" s="4">
        <f t="shared" si="8"/>
        <v>2023</v>
      </c>
      <c r="C298" s="4">
        <f t="shared" si="9"/>
        <v>6</v>
      </c>
      <c r="D298" t="s">
        <v>42</v>
      </c>
      <c r="E298" t="s">
        <v>39</v>
      </c>
      <c r="F298" t="s">
        <v>17</v>
      </c>
      <c r="G298" t="s">
        <v>26</v>
      </c>
      <c r="H298" t="s">
        <v>27</v>
      </c>
      <c r="I298" s="3">
        <v>2386</v>
      </c>
      <c r="J298" s="4">
        <v>10</v>
      </c>
      <c r="K298" s="2">
        <v>249.88</v>
      </c>
    </row>
    <row r="299" spans="1:11" x14ac:dyDescent="0.3">
      <c r="A299" s="1">
        <v>45100</v>
      </c>
      <c r="B299" s="4">
        <f t="shared" si="8"/>
        <v>2023</v>
      </c>
      <c r="C299" s="4">
        <f t="shared" si="9"/>
        <v>6</v>
      </c>
      <c r="D299" t="s">
        <v>9</v>
      </c>
      <c r="E299" t="s">
        <v>10</v>
      </c>
      <c r="F299" t="s">
        <v>22</v>
      </c>
      <c r="G299" t="s">
        <v>29</v>
      </c>
      <c r="H299" t="s">
        <v>30</v>
      </c>
      <c r="I299" s="3">
        <v>36005</v>
      </c>
      <c r="J299" s="4">
        <v>4</v>
      </c>
      <c r="K299" s="2">
        <v>7145.78</v>
      </c>
    </row>
    <row r="300" spans="1:11" x14ac:dyDescent="0.3">
      <c r="A300" s="1">
        <v>45102</v>
      </c>
      <c r="B300" s="4">
        <f t="shared" si="8"/>
        <v>2023</v>
      </c>
      <c r="C300" s="4">
        <f t="shared" si="9"/>
        <v>6</v>
      </c>
      <c r="D300" t="s">
        <v>42</v>
      </c>
      <c r="E300" t="s">
        <v>10</v>
      </c>
      <c r="F300" t="s">
        <v>22</v>
      </c>
      <c r="G300" t="s">
        <v>40</v>
      </c>
      <c r="H300" t="s">
        <v>41</v>
      </c>
      <c r="I300" s="3">
        <v>44477</v>
      </c>
      <c r="J300" s="4">
        <v>4</v>
      </c>
      <c r="K300" s="2">
        <v>5634.17</v>
      </c>
    </row>
    <row r="301" spans="1:11" x14ac:dyDescent="0.3">
      <c r="A301" s="1">
        <v>45105</v>
      </c>
      <c r="B301" s="4">
        <f t="shared" si="8"/>
        <v>2023</v>
      </c>
      <c r="C301" s="4">
        <f t="shared" si="9"/>
        <v>6</v>
      </c>
      <c r="D301" t="s">
        <v>9</v>
      </c>
      <c r="E301" t="s">
        <v>10</v>
      </c>
      <c r="F301" t="s">
        <v>11</v>
      </c>
      <c r="G301" t="s">
        <v>37</v>
      </c>
      <c r="H301" t="s">
        <v>38</v>
      </c>
      <c r="I301" s="3">
        <v>29343</v>
      </c>
      <c r="J301" s="4">
        <v>4</v>
      </c>
      <c r="K301" s="2">
        <v>5232.37</v>
      </c>
    </row>
    <row r="302" spans="1:11" x14ac:dyDescent="0.3">
      <c r="A302" s="1">
        <v>45111</v>
      </c>
      <c r="B302" s="4">
        <f t="shared" si="8"/>
        <v>2023</v>
      </c>
      <c r="C302" s="4">
        <f t="shared" si="9"/>
        <v>7</v>
      </c>
      <c r="D302" t="s">
        <v>14</v>
      </c>
      <c r="E302" t="s">
        <v>15</v>
      </c>
      <c r="F302" t="s">
        <v>11</v>
      </c>
      <c r="G302" t="s">
        <v>53</v>
      </c>
      <c r="H302" t="s">
        <v>54</v>
      </c>
      <c r="I302" s="3">
        <v>35496</v>
      </c>
      <c r="J302" s="4">
        <v>8</v>
      </c>
      <c r="K302" s="2">
        <v>3612.38</v>
      </c>
    </row>
    <row r="303" spans="1:11" x14ac:dyDescent="0.3">
      <c r="A303" s="1">
        <v>45111</v>
      </c>
      <c r="B303" s="4">
        <f t="shared" si="8"/>
        <v>2023</v>
      </c>
      <c r="C303" s="4">
        <f t="shared" si="9"/>
        <v>7</v>
      </c>
      <c r="D303" t="s">
        <v>57</v>
      </c>
      <c r="E303" t="s">
        <v>15</v>
      </c>
      <c r="F303" t="s">
        <v>22</v>
      </c>
      <c r="G303" t="s">
        <v>40</v>
      </c>
      <c r="H303" t="s">
        <v>41</v>
      </c>
      <c r="I303" s="3">
        <v>49598</v>
      </c>
      <c r="J303" s="4">
        <v>5</v>
      </c>
      <c r="K303" s="2">
        <v>9577.6299999999992</v>
      </c>
    </row>
    <row r="304" spans="1:11" x14ac:dyDescent="0.3">
      <c r="A304" s="1">
        <v>45111</v>
      </c>
      <c r="B304" s="4">
        <f t="shared" si="8"/>
        <v>2023</v>
      </c>
      <c r="C304" s="4">
        <f t="shared" si="9"/>
        <v>7</v>
      </c>
      <c r="D304" t="s">
        <v>9</v>
      </c>
      <c r="E304" t="s">
        <v>21</v>
      </c>
      <c r="F304" t="s">
        <v>11</v>
      </c>
      <c r="G304" t="s">
        <v>12</v>
      </c>
      <c r="H304" t="s">
        <v>13</v>
      </c>
      <c r="I304" s="3">
        <v>946</v>
      </c>
      <c r="J304" s="4">
        <v>5</v>
      </c>
      <c r="K304" s="2">
        <v>77.05</v>
      </c>
    </row>
    <row r="305" spans="1:11" x14ac:dyDescent="0.3">
      <c r="A305" s="1">
        <v>45116</v>
      </c>
      <c r="B305" s="4">
        <f t="shared" si="8"/>
        <v>2023</v>
      </c>
      <c r="C305" s="4">
        <f t="shared" si="9"/>
        <v>7</v>
      </c>
      <c r="D305" t="s">
        <v>9</v>
      </c>
      <c r="E305" t="s">
        <v>39</v>
      </c>
      <c r="F305" t="s">
        <v>17</v>
      </c>
      <c r="G305" t="s">
        <v>49</v>
      </c>
      <c r="H305" t="s">
        <v>50</v>
      </c>
      <c r="I305" s="3">
        <v>36702</v>
      </c>
      <c r="J305" s="4">
        <v>9</v>
      </c>
      <c r="K305" s="2">
        <v>4656.24</v>
      </c>
    </row>
    <row r="306" spans="1:11" x14ac:dyDescent="0.3">
      <c r="A306" s="1">
        <v>45116</v>
      </c>
      <c r="B306" s="4">
        <f t="shared" si="8"/>
        <v>2023</v>
      </c>
      <c r="C306" s="4">
        <f t="shared" si="9"/>
        <v>7</v>
      </c>
      <c r="D306" t="s">
        <v>14</v>
      </c>
      <c r="E306" t="s">
        <v>15</v>
      </c>
      <c r="F306" t="s">
        <v>22</v>
      </c>
      <c r="G306" t="s">
        <v>40</v>
      </c>
      <c r="H306" t="s">
        <v>41</v>
      </c>
      <c r="I306" s="3">
        <v>39386</v>
      </c>
      <c r="J306" s="4">
        <v>8</v>
      </c>
      <c r="K306" s="2">
        <v>5409.14</v>
      </c>
    </row>
    <row r="307" spans="1:11" x14ac:dyDescent="0.3">
      <c r="A307" s="1">
        <v>45119</v>
      </c>
      <c r="B307" s="4">
        <f t="shared" si="8"/>
        <v>2023</v>
      </c>
      <c r="C307" s="4">
        <f t="shared" si="9"/>
        <v>7</v>
      </c>
      <c r="D307" t="s">
        <v>28</v>
      </c>
      <c r="E307" t="s">
        <v>46</v>
      </c>
      <c r="F307" t="s">
        <v>11</v>
      </c>
      <c r="G307" t="s">
        <v>32</v>
      </c>
      <c r="H307" t="s">
        <v>33</v>
      </c>
      <c r="I307" s="3">
        <v>59739</v>
      </c>
      <c r="J307" s="4">
        <v>8</v>
      </c>
      <c r="K307" s="2">
        <v>5651.49</v>
      </c>
    </row>
    <row r="308" spans="1:11" x14ac:dyDescent="0.3">
      <c r="A308" s="1">
        <v>45119</v>
      </c>
      <c r="B308" s="4">
        <f t="shared" si="8"/>
        <v>2023</v>
      </c>
      <c r="C308" s="4">
        <f t="shared" si="9"/>
        <v>7</v>
      </c>
      <c r="D308" t="s">
        <v>45</v>
      </c>
      <c r="E308" t="s">
        <v>46</v>
      </c>
      <c r="F308" t="s">
        <v>22</v>
      </c>
      <c r="G308" t="s">
        <v>23</v>
      </c>
      <c r="H308" t="s">
        <v>60</v>
      </c>
      <c r="I308" s="3">
        <v>32352</v>
      </c>
      <c r="J308" s="4">
        <v>4</v>
      </c>
      <c r="K308" s="2">
        <v>3344.28</v>
      </c>
    </row>
    <row r="309" spans="1:11" x14ac:dyDescent="0.3">
      <c r="A309" s="1">
        <v>45120</v>
      </c>
      <c r="B309" s="4">
        <f t="shared" si="8"/>
        <v>2023</v>
      </c>
      <c r="C309" s="4">
        <f t="shared" si="9"/>
        <v>7</v>
      </c>
      <c r="D309" t="s">
        <v>45</v>
      </c>
      <c r="E309" t="s">
        <v>39</v>
      </c>
      <c r="F309" t="s">
        <v>22</v>
      </c>
      <c r="G309" t="s">
        <v>23</v>
      </c>
      <c r="H309" t="s">
        <v>24</v>
      </c>
      <c r="I309" s="3">
        <v>58175</v>
      </c>
      <c r="J309" s="4">
        <v>6</v>
      </c>
      <c r="K309" s="2">
        <v>11028.28</v>
      </c>
    </row>
    <row r="310" spans="1:11" x14ac:dyDescent="0.3">
      <c r="A310" s="1">
        <v>45121</v>
      </c>
      <c r="B310" s="4">
        <f t="shared" si="8"/>
        <v>2023</v>
      </c>
      <c r="C310" s="4">
        <f t="shared" si="9"/>
        <v>7</v>
      </c>
      <c r="D310" t="s">
        <v>16</v>
      </c>
      <c r="E310" t="s">
        <v>46</v>
      </c>
      <c r="F310" t="s">
        <v>11</v>
      </c>
      <c r="G310" t="s">
        <v>32</v>
      </c>
      <c r="H310" t="s">
        <v>33</v>
      </c>
      <c r="I310" s="3">
        <v>58401</v>
      </c>
      <c r="J310" s="4">
        <v>4</v>
      </c>
      <c r="K310" s="2">
        <v>6545.12</v>
      </c>
    </row>
    <row r="311" spans="1:11" x14ac:dyDescent="0.3">
      <c r="A311" s="1">
        <v>45121</v>
      </c>
      <c r="B311" s="4">
        <f t="shared" si="8"/>
        <v>2023</v>
      </c>
      <c r="C311" s="4">
        <f t="shared" si="9"/>
        <v>7</v>
      </c>
      <c r="D311" t="s">
        <v>34</v>
      </c>
      <c r="E311" t="s">
        <v>21</v>
      </c>
      <c r="F311" t="s">
        <v>11</v>
      </c>
      <c r="G311" t="s">
        <v>32</v>
      </c>
      <c r="H311" t="s">
        <v>33</v>
      </c>
      <c r="I311" s="3">
        <v>5030</v>
      </c>
      <c r="J311" s="4">
        <v>1</v>
      </c>
      <c r="K311" s="2">
        <v>474.01</v>
      </c>
    </row>
    <row r="312" spans="1:11" x14ac:dyDescent="0.3">
      <c r="A312" s="1">
        <v>45122</v>
      </c>
      <c r="B312" s="4">
        <f t="shared" si="8"/>
        <v>2023</v>
      </c>
      <c r="C312" s="4">
        <f t="shared" si="9"/>
        <v>7</v>
      </c>
      <c r="D312" t="s">
        <v>25</v>
      </c>
      <c r="E312" t="s">
        <v>10</v>
      </c>
      <c r="F312" t="s">
        <v>22</v>
      </c>
      <c r="G312" t="s">
        <v>29</v>
      </c>
      <c r="H312" t="s">
        <v>30</v>
      </c>
      <c r="I312" s="3">
        <v>33219</v>
      </c>
      <c r="J312" s="4">
        <v>4</v>
      </c>
      <c r="K312" s="2">
        <v>6371.81</v>
      </c>
    </row>
    <row r="313" spans="1:11" x14ac:dyDescent="0.3">
      <c r="A313" s="1">
        <v>45122</v>
      </c>
      <c r="B313" s="4">
        <f t="shared" si="8"/>
        <v>2023</v>
      </c>
      <c r="C313" s="4">
        <f t="shared" si="9"/>
        <v>7</v>
      </c>
      <c r="D313" t="s">
        <v>9</v>
      </c>
      <c r="E313" t="s">
        <v>39</v>
      </c>
      <c r="F313" t="s">
        <v>11</v>
      </c>
      <c r="G313" t="s">
        <v>37</v>
      </c>
      <c r="H313" t="s">
        <v>38</v>
      </c>
      <c r="I313" s="3">
        <v>20405</v>
      </c>
      <c r="J313" s="4">
        <v>8</v>
      </c>
      <c r="K313" s="2">
        <v>1831.37</v>
      </c>
    </row>
    <row r="314" spans="1:11" x14ac:dyDescent="0.3">
      <c r="A314" s="1">
        <v>45122</v>
      </c>
      <c r="B314" s="4">
        <f t="shared" si="8"/>
        <v>2023</v>
      </c>
      <c r="C314" s="4">
        <f t="shared" si="9"/>
        <v>7</v>
      </c>
      <c r="D314" t="s">
        <v>42</v>
      </c>
      <c r="E314" t="s">
        <v>15</v>
      </c>
      <c r="F314" t="s">
        <v>11</v>
      </c>
      <c r="G314" t="s">
        <v>12</v>
      </c>
      <c r="H314" t="s">
        <v>13</v>
      </c>
      <c r="I314" s="3">
        <v>18125</v>
      </c>
      <c r="J314" s="4">
        <v>4</v>
      </c>
      <c r="K314" s="2">
        <v>2975.74</v>
      </c>
    </row>
    <row r="315" spans="1:11" x14ac:dyDescent="0.3">
      <c r="A315" s="1">
        <v>45124</v>
      </c>
      <c r="B315" s="4">
        <f t="shared" si="8"/>
        <v>2023</v>
      </c>
      <c r="C315" s="4">
        <f t="shared" si="9"/>
        <v>7</v>
      </c>
      <c r="D315" t="s">
        <v>20</v>
      </c>
      <c r="E315" t="s">
        <v>31</v>
      </c>
      <c r="F315" t="s">
        <v>11</v>
      </c>
      <c r="G315" t="s">
        <v>37</v>
      </c>
      <c r="H315" t="s">
        <v>38</v>
      </c>
      <c r="I315" s="3">
        <v>18022</v>
      </c>
      <c r="J315" s="4">
        <v>4</v>
      </c>
      <c r="K315" s="2">
        <v>1103</v>
      </c>
    </row>
    <row r="316" spans="1:11" x14ac:dyDescent="0.3">
      <c r="A316" s="1">
        <v>45125</v>
      </c>
      <c r="B316" s="4">
        <f t="shared" si="8"/>
        <v>2023</v>
      </c>
      <c r="C316" s="4">
        <f t="shared" si="9"/>
        <v>7</v>
      </c>
      <c r="D316" t="s">
        <v>34</v>
      </c>
      <c r="E316" t="s">
        <v>31</v>
      </c>
      <c r="F316" t="s">
        <v>17</v>
      </c>
      <c r="G316" t="s">
        <v>35</v>
      </c>
      <c r="H316" t="s">
        <v>36</v>
      </c>
      <c r="I316" s="3">
        <v>41860</v>
      </c>
      <c r="J316" s="4">
        <v>6</v>
      </c>
      <c r="K316" s="2">
        <v>3114.31</v>
      </c>
    </row>
    <row r="317" spans="1:11" x14ac:dyDescent="0.3">
      <c r="A317" s="1">
        <v>45126</v>
      </c>
      <c r="B317" s="4">
        <f t="shared" si="8"/>
        <v>2023</v>
      </c>
      <c r="C317" s="4">
        <f t="shared" si="9"/>
        <v>7</v>
      </c>
      <c r="D317" t="s">
        <v>9</v>
      </c>
      <c r="E317" t="s">
        <v>10</v>
      </c>
      <c r="F317" t="s">
        <v>22</v>
      </c>
      <c r="G317" t="s">
        <v>40</v>
      </c>
      <c r="H317" t="s">
        <v>41</v>
      </c>
      <c r="I317" s="3">
        <v>33331</v>
      </c>
      <c r="J317" s="4">
        <v>10</v>
      </c>
      <c r="K317" s="2">
        <v>3817.4</v>
      </c>
    </row>
    <row r="318" spans="1:11" x14ac:dyDescent="0.3">
      <c r="A318" s="1">
        <v>45128</v>
      </c>
      <c r="B318" s="4">
        <f t="shared" si="8"/>
        <v>2023</v>
      </c>
      <c r="C318" s="4">
        <f t="shared" si="9"/>
        <v>7</v>
      </c>
      <c r="D318" t="s">
        <v>9</v>
      </c>
      <c r="E318" t="s">
        <v>10</v>
      </c>
      <c r="F318" t="s">
        <v>11</v>
      </c>
      <c r="G318" t="s">
        <v>37</v>
      </c>
      <c r="H318" t="s">
        <v>38</v>
      </c>
      <c r="I318" s="3">
        <v>32184</v>
      </c>
      <c r="J318" s="4">
        <v>6</v>
      </c>
      <c r="K318" s="2">
        <v>4418.6499999999996</v>
      </c>
    </row>
    <row r="319" spans="1:11" x14ac:dyDescent="0.3">
      <c r="A319" s="1">
        <v>45134</v>
      </c>
      <c r="B319" s="4">
        <f t="shared" si="8"/>
        <v>2023</v>
      </c>
      <c r="C319" s="4">
        <f t="shared" si="9"/>
        <v>7</v>
      </c>
      <c r="D319" t="s">
        <v>20</v>
      </c>
      <c r="E319" t="s">
        <v>39</v>
      </c>
      <c r="F319" t="s">
        <v>17</v>
      </c>
      <c r="G319" t="s">
        <v>49</v>
      </c>
      <c r="H319" t="s">
        <v>51</v>
      </c>
      <c r="I319" s="3">
        <v>2623</v>
      </c>
      <c r="J319" s="4">
        <v>5</v>
      </c>
      <c r="K319" s="2">
        <v>210.47</v>
      </c>
    </row>
    <row r="320" spans="1:11" x14ac:dyDescent="0.3">
      <c r="A320" s="1">
        <v>45134</v>
      </c>
      <c r="B320" s="4">
        <f t="shared" si="8"/>
        <v>2023</v>
      </c>
      <c r="C320" s="4">
        <f t="shared" si="9"/>
        <v>7</v>
      </c>
      <c r="D320" t="s">
        <v>45</v>
      </c>
      <c r="E320" t="s">
        <v>21</v>
      </c>
      <c r="F320" t="s">
        <v>11</v>
      </c>
      <c r="G320" t="s">
        <v>53</v>
      </c>
      <c r="H320" t="s">
        <v>54</v>
      </c>
      <c r="I320" s="3">
        <v>7210</v>
      </c>
      <c r="J320" s="4">
        <v>3</v>
      </c>
      <c r="K320" s="2">
        <v>689.99</v>
      </c>
    </row>
    <row r="321" spans="1:11" x14ac:dyDescent="0.3">
      <c r="A321" s="1">
        <v>45138</v>
      </c>
      <c r="B321" s="4">
        <f t="shared" si="8"/>
        <v>2023</v>
      </c>
      <c r="C321" s="4">
        <f t="shared" si="9"/>
        <v>7</v>
      </c>
      <c r="D321" t="s">
        <v>34</v>
      </c>
      <c r="E321" t="s">
        <v>10</v>
      </c>
      <c r="F321" t="s">
        <v>22</v>
      </c>
      <c r="G321" t="s">
        <v>55</v>
      </c>
      <c r="H321" t="s">
        <v>56</v>
      </c>
      <c r="I321" s="3">
        <v>59976</v>
      </c>
      <c r="J321" s="4">
        <v>9</v>
      </c>
      <c r="K321" s="2">
        <v>6078.51</v>
      </c>
    </row>
    <row r="322" spans="1:11" x14ac:dyDescent="0.3">
      <c r="A322" s="1">
        <v>45142</v>
      </c>
      <c r="B322" s="4">
        <f t="shared" ref="B322:B385" si="10">YEAR(A322)</f>
        <v>2023</v>
      </c>
      <c r="C322" s="4">
        <f t="shared" ref="C322:C385" si="11">MONTH(A322)</f>
        <v>8</v>
      </c>
      <c r="D322" t="s">
        <v>14</v>
      </c>
      <c r="E322" t="s">
        <v>15</v>
      </c>
      <c r="F322" t="s">
        <v>22</v>
      </c>
      <c r="G322" t="s">
        <v>29</v>
      </c>
      <c r="H322" t="s">
        <v>58</v>
      </c>
      <c r="I322" s="3">
        <v>50625</v>
      </c>
      <c r="J322" s="4">
        <v>5</v>
      </c>
      <c r="K322" s="2">
        <v>8440.1299999999992</v>
      </c>
    </row>
    <row r="323" spans="1:11" x14ac:dyDescent="0.3">
      <c r="A323" s="1">
        <v>45145</v>
      </c>
      <c r="B323" s="4">
        <f t="shared" si="10"/>
        <v>2023</v>
      </c>
      <c r="C323" s="4">
        <f t="shared" si="11"/>
        <v>8</v>
      </c>
      <c r="D323" t="s">
        <v>45</v>
      </c>
      <c r="E323" t="s">
        <v>15</v>
      </c>
      <c r="F323" t="s">
        <v>17</v>
      </c>
      <c r="G323" t="s">
        <v>47</v>
      </c>
      <c r="H323" t="s">
        <v>48</v>
      </c>
      <c r="I323" s="3">
        <v>3976</v>
      </c>
      <c r="J323" s="4">
        <v>9</v>
      </c>
      <c r="K323" s="2">
        <v>444.92</v>
      </c>
    </row>
    <row r="324" spans="1:11" x14ac:dyDescent="0.3">
      <c r="A324" s="1">
        <v>45148</v>
      </c>
      <c r="B324" s="4">
        <f t="shared" si="10"/>
        <v>2023</v>
      </c>
      <c r="C324" s="4">
        <f t="shared" si="11"/>
        <v>8</v>
      </c>
      <c r="D324" t="s">
        <v>34</v>
      </c>
      <c r="E324" t="s">
        <v>39</v>
      </c>
      <c r="F324" t="s">
        <v>22</v>
      </c>
      <c r="G324" t="s">
        <v>40</v>
      </c>
      <c r="H324" t="s">
        <v>41</v>
      </c>
      <c r="I324" s="3">
        <v>37545</v>
      </c>
      <c r="J324" s="4">
        <v>10</v>
      </c>
      <c r="K324" s="2">
        <v>5640.32</v>
      </c>
    </row>
    <row r="325" spans="1:11" x14ac:dyDescent="0.3">
      <c r="A325" s="1">
        <v>45149</v>
      </c>
      <c r="B325" s="4">
        <f t="shared" si="10"/>
        <v>2023</v>
      </c>
      <c r="C325" s="4">
        <f t="shared" si="11"/>
        <v>8</v>
      </c>
      <c r="D325" t="s">
        <v>20</v>
      </c>
      <c r="E325" t="s">
        <v>39</v>
      </c>
      <c r="F325" t="s">
        <v>11</v>
      </c>
      <c r="G325" t="s">
        <v>37</v>
      </c>
      <c r="H325" t="s">
        <v>38</v>
      </c>
      <c r="I325" s="3">
        <v>28745</v>
      </c>
      <c r="J325" s="4">
        <v>10</v>
      </c>
      <c r="K325" s="2">
        <v>2594.5</v>
      </c>
    </row>
    <row r="326" spans="1:11" x14ac:dyDescent="0.3">
      <c r="A326" s="1">
        <v>45151</v>
      </c>
      <c r="B326" s="4">
        <f t="shared" si="10"/>
        <v>2023</v>
      </c>
      <c r="C326" s="4">
        <f t="shared" si="11"/>
        <v>8</v>
      </c>
      <c r="D326" t="s">
        <v>34</v>
      </c>
      <c r="E326" t="s">
        <v>31</v>
      </c>
      <c r="F326" t="s">
        <v>22</v>
      </c>
      <c r="G326" t="s">
        <v>29</v>
      </c>
      <c r="H326" t="s">
        <v>58</v>
      </c>
      <c r="I326" s="3">
        <v>6662</v>
      </c>
      <c r="J326" s="4">
        <v>8</v>
      </c>
      <c r="K326" s="2">
        <v>1094.2</v>
      </c>
    </row>
    <row r="327" spans="1:11" x14ac:dyDescent="0.3">
      <c r="A327" s="1">
        <v>45154</v>
      </c>
      <c r="B327" s="4">
        <f t="shared" si="10"/>
        <v>2023</v>
      </c>
      <c r="C327" s="4">
        <f t="shared" si="11"/>
        <v>8</v>
      </c>
      <c r="D327" t="s">
        <v>45</v>
      </c>
      <c r="E327" t="s">
        <v>15</v>
      </c>
      <c r="F327" t="s">
        <v>11</v>
      </c>
      <c r="G327" t="s">
        <v>53</v>
      </c>
      <c r="H327" t="s">
        <v>54</v>
      </c>
      <c r="I327" s="3">
        <v>8564</v>
      </c>
      <c r="J327" s="4">
        <v>10</v>
      </c>
      <c r="K327" s="2">
        <v>1114.3399999999999</v>
      </c>
    </row>
    <row r="328" spans="1:11" x14ac:dyDescent="0.3">
      <c r="A328" s="1">
        <v>45159</v>
      </c>
      <c r="B328" s="4">
        <f t="shared" si="10"/>
        <v>2023</v>
      </c>
      <c r="C328" s="4">
        <f t="shared" si="11"/>
        <v>8</v>
      </c>
      <c r="D328" t="s">
        <v>57</v>
      </c>
      <c r="E328" t="s">
        <v>10</v>
      </c>
      <c r="F328" t="s">
        <v>11</v>
      </c>
      <c r="G328" t="s">
        <v>12</v>
      </c>
      <c r="H328" t="s">
        <v>13</v>
      </c>
      <c r="I328" s="3">
        <v>3053</v>
      </c>
      <c r="J328" s="4">
        <v>7</v>
      </c>
      <c r="K328" s="2">
        <v>601.91999999999996</v>
      </c>
    </row>
    <row r="329" spans="1:11" x14ac:dyDescent="0.3">
      <c r="A329" s="1">
        <v>45160</v>
      </c>
      <c r="B329" s="4">
        <f t="shared" si="10"/>
        <v>2023</v>
      </c>
      <c r="C329" s="4">
        <f t="shared" si="11"/>
        <v>8</v>
      </c>
      <c r="D329" t="s">
        <v>34</v>
      </c>
      <c r="E329" t="s">
        <v>31</v>
      </c>
      <c r="F329" t="s">
        <v>22</v>
      </c>
      <c r="G329" t="s">
        <v>55</v>
      </c>
      <c r="H329" t="s">
        <v>56</v>
      </c>
      <c r="I329" s="3">
        <v>1470</v>
      </c>
      <c r="J329" s="4">
        <v>9</v>
      </c>
      <c r="K329" s="2">
        <v>84.98</v>
      </c>
    </row>
    <row r="330" spans="1:11" x14ac:dyDescent="0.3">
      <c r="A330" s="1">
        <v>45161</v>
      </c>
      <c r="B330" s="4">
        <f t="shared" si="10"/>
        <v>2023</v>
      </c>
      <c r="C330" s="4">
        <f t="shared" si="11"/>
        <v>8</v>
      </c>
      <c r="D330" t="s">
        <v>9</v>
      </c>
      <c r="E330" t="s">
        <v>39</v>
      </c>
      <c r="F330" t="s">
        <v>22</v>
      </c>
      <c r="G330" t="s">
        <v>29</v>
      </c>
      <c r="H330" t="s">
        <v>30</v>
      </c>
      <c r="I330" s="3">
        <v>50686</v>
      </c>
      <c r="J330" s="4">
        <v>2</v>
      </c>
      <c r="K330" s="2">
        <v>2661.19</v>
      </c>
    </row>
    <row r="331" spans="1:11" x14ac:dyDescent="0.3">
      <c r="A331" s="1">
        <v>45165</v>
      </c>
      <c r="B331" s="4">
        <f t="shared" si="10"/>
        <v>2023</v>
      </c>
      <c r="C331" s="4">
        <f t="shared" si="11"/>
        <v>8</v>
      </c>
      <c r="D331" t="s">
        <v>9</v>
      </c>
      <c r="E331" t="s">
        <v>10</v>
      </c>
      <c r="F331" t="s">
        <v>11</v>
      </c>
      <c r="G331" t="s">
        <v>53</v>
      </c>
      <c r="H331" t="s">
        <v>54</v>
      </c>
      <c r="I331" s="3">
        <v>53120</v>
      </c>
      <c r="J331" s="4">
        <v>7</v>
      </c>
      <c r="K331" s="2">
        <v>4173.1899999999996</v>
      </c>
    </row>
    <row r="332" spans="1:11" x14ac:dyDescent="0.3">
      <c r="A332" s="1">
        <v>45173</v>
      </c>
      <c r="B332" s="4">
        <f t="shared" si="10"/>
        <v>2023</v>
      </c>
      <c r="C332" s="4">
        <f t="shared" si="11"/>
        <v>9</v>
      </c>
      <c r="D332" t="s">
        <v>45</v>
      </c>
      <c r="E332" t="s">
        <v>46</v>
      </c>
      <c r="F332" t="s">
        <v>11</v>
      </c>
      <c r="G332" t="s">
        <v>12</v>
      </c>
      <c r="H332" t="s">
        <v>13</v>
      </c>
      <c r="I332" s="3">
        <v>586</v>
      </c>
      <c r="J332" s="4">
        <v>6</v>
      </c>
      <c r="K332" s="2">
        <v>55.55</v>
      </c>
    </row>
    <row r="333" spans="1:11" x14ac:dyDescent="0.3">
      <c r="A333" s="1">
        <v>45178</v>
      </c>
      <c r="B333" s="4">
        <f t="shared" si="10"/>
        <v>2023</v>
      </c>
      <c r="C333" s="4">
        <f t="shared" si="11"/>
        <v>9</v>
      </c>
      <c r="D333" t="s">
        <v>25</v>
      </c>
      <c r="E333" t="s">
        <v>31</v>
      </c>
      <c r="F333" t="s">
        <v>17</v>
      </c>
      <c r="G333" t="s">
        <v>49</v>
      </c>
      <c r="H333" t="s">
        <v>51</v>
      </c>
      <c r="I333" s="3">
        <v>13889</v>
      </c>
      <c r="J333" s="4">
        <v>6</v>
      </c>
      <c r="K333" s="2">
        <v>1326.1</v>
      </c>
    </row>
    <row r="334" spans="1:11" x14ac:dyDescent="0.3">
      <c r="A334" s="1">
        <v>45178</v>
      </c>
      <c r="B334" s="4">
        <f t="shared" si="10"/>
        <v>2023</v>
      </c>
      <c r="C334" s="4">
        <f t="shared" si="11"/>
        <v>9</v>
      </c>
      <c r="D334" t="s">
        <v>34</v>
      </c>
      <c r="E334" t="s">
        <v>21</v>
      </c>
      <c r="F334" t="s">
        <v>22</v>
      </c>
      <c r="G334" t="s">
        <v>55</v>
      </c>
      <c r="H334" t="s">
        <v>56</v>
      </c>
      <c r="I334" s="3">
        <v>20790</v>
      </c>
      <c r="J334" s="4">
        <v>3</v>
      </c>
      <c r="K334" s="2">
        <v>4047.53</v>
      </c>
    </row>
    <row r="335" spans="1:11" x14ac:dyDescent="0.3">
      <c r="A335" s="1">
        <v>45186</v>
      </c>
      <c r="B335" s="4">
        <f t="shared" si="10"/>
        <v>2023</v>
      </c>
      <c r="C335" s="4">
        <f t="shared" si="11"/>
        <v>9</v>
      </c>
      <c r="D335" t="s">
        <v>16</v>
      </c>
      <c r="E335" t="s">
        <v>39</v>
      </c>
      <c r="F335" t="s">
        <v>11</v>
      </c>
      <c r="G335" t="s">
        <v>12</v>
      </c>
      <c r="H335" t="s">
        <v>13</v>
      </c>
      <c r="I335" s="3">
        <v>32189</v>
      </c>
      <c r="J335" s="4">
        <v>2</v>
      </c>
      <c r="K335" s="2">
        <v>5895.06</v>
      </c>
    </row>
    <row r="336" spans="1:11" x14ac:dyDescent="0.3">
      <c r="A336" s="1">
        <v>45195</v>
      </c>
      <c r="B336" s="4">
        <f t="shared" si="10"/>
        <v>2023</v>
      </c>
      <c r="C336" s="4">
        <f t="shared" si="11"/>
        <v>9</v>
      </c>
      <c r="D336" t="s">
        <v>34</v>
      </c>
      <c r="E336" t="s">
        <v>21</v>
      </c>
      <c r="F336" t="s">
        <v>22</v>
      </c>
      <c r="G336" t="s">
        <v>55</v>
      </c>
      <c r="H336" t="s">
        <v>56</v>
      </c>
      <c r="I336" s="3">
        <v>14101</v>
      </c>
      <c r="J336" s="4">
        <v>6</v>
      </c>
      <c r="K336" s="2">
        <v>2392.59</v>
      </c>
    </row>
    <row r="337" spans="1:11" x14ac:dyDescent="0.3">
      <c r="A337" s="1">
        <v>45198</v>
      </c>
      <c r="B337" s="4">
        <f t="shared" si="10"/>
        <v>2023</v>
      </c>
      <c r="C337" s="4">
        <f t="shared" si="11"/>
        <v>9</v>
      </c>
      <c r="D337" t="s">
        <v>14</v>
      </c>
      <c r="E337" t="s">
        <v>46</v>
      </c>
      <c r="F337" t="s">
        <v>22</v>
      </c>
      <c r="G337" t="s">
        <v>40</v>
      </c>
      <c r="H337" t="s">
        <v>41</v>
      </c>
      <c r="I337" s="3">
        <v>58846</v>
      </c>
      <c r="J337" s="4">
        <v>5</v>
      </c>
      <c r="K337" s="2">
        <v>3746.76</v>
      </c>
    </row>
    <row r="338" spans="1:11" x14ac:dyDescent="0.3">
      <c r="A338" s="1">
        <v>45204</v>
      </c>
      <c r="B338" s="4">
        <f t="shared" si="10"/>
        <v>2023</v>
      </c>
      <c r="C338" s="4">
        <f t="shared" si="11"/>
        <v>10</v>
      </c>
      <c r="D338" t="s">
        <v>25</v>
      </c>
      <c r="E338" t="s">
        <v>31</v>
      </c>
      <c r="F338" t="s">
        <v>17</v>
      </c>
      <c r="G338" t="s">
        <v>26</v>
      </c>
      <c r="H338" t="s">
        <v>27</v>
      </c>
      <c r="I338" s="3">
        <v>5055</v>
      </c>
      <c r="J338" s="4">
        <v>10</v>
      </c>
      <c r="K338" s="2">
        <v>730.03</v>
      </c>
    </row>
    <row r="339" spans="1:11" x14ac:dyDescent="0.3">
      <c r="A339" s="1">
        <v>45205</v>
      </c>
      <c r="B339" s="4">
        <f t="shared" si="10"/>
        <v>2023</v>
      </c>
      <c r="C339" s="4">
        <f t="shared" si="11"/>
        <v>10</v>
      </c>
      <c r="D339" t="s">
        <v>25</v>
      </c>
      <c r="E339" t="s">
        <v>39</v>
      </c>
      <c r="F339" t="s">
        <v>11</v>
      </c>
      <c r="G339" t="s">
        <v>32</v>
      </c>
      <c r="H339" t="s">
        <v>33</v>
      </c>
      <c r="I339" s="3">
        <v>35728</v>
      </c>
      <c r="J339" s="4">
        <v>5</v>
      </c>
      <c r="K339" s="2">
        <v>2727.24</v>
      </c>
    </row>
    <row r="340" spans="1:11" x14ac:dyDescent="0.3">
      <c r="A340" s="1">
        <v>45210</v>
      </c>
      <c r="B340" s="4">
        <f t="shared" si="10"/>
        <v>2023</v>
      </c>
      <c r="C340" s="4">
        <f t="shared" si="11"/>
        <v>10</v>
      </c>
      <c r="D340" t="s">
        <v>28</v>
      </c>
      <c r="E340" t="s">
        <v>39</v>
      </c>
      <c r="F340" t="s">
        <v>11</v>
      </c>
      <c r="G340" t="s">
        <v>12</v>
      </c>
      <c r="H340" t="s">
        <v>13</v>
      </c>
      <c r="I340" s="3">
        <v>25489</v>
      </c>
      <c r="J340" s="4">
        <v>2</v>
      </c>
      <c r="K340" s="2">
        <v>2196.19</v>
      </c>
    </row>
    <row r="341" spans="1:11" x14ac:dyDescent="0.3">
      <c r="A341" s="1">
        <v>45217</v>
      </c>
      <c r="B341" s="4">
        <f t="shared" si="10"/>
        <v>2023</v>
      </c>
      <c r="C341" s="4">
        <f t="shared" si="11"/>
        <v>10</v>
      </c>
      <c r="D341" t="s">
        <v>57</v>
      </c>
      <c r="E341" t="s">
        <v>46</v>
      </c>
      <c r="F341" t="s">
        <v>22</v>
      </c>
      <c r="G341" t="s">
        <v>43</v>
      </c>
      <c r="H341" t="s">
        <v>59</v>
      </c>
      <c r="I341" s="3">
        <v>33933</v>
      </c>
      <c r="J341" s="4">
        <v>8</v>
      </c>
      <c r="K341" s="2">
        <v>4235.3100000000004</v>
      </c>
    </row>
    <row r="342" spans="1:11" x14ac:dyDescent="0.3">
      <c r="A342" s="1">
        <v>45219</v>
      </c>
      <c r="B342" s="4">
        <f t="shared" si="10"/>
        <v>2023</v>
      </c>
      <c r="C342" s="4">
        <f t="shared" si="11"/>
        <v>10</v>
      </c>
      <c r="D342" t="s">
        <v>9</v>
      </c>
      <c r="E342" t="s">
        <v>21</v>
      </c>
      <c r="F342" t="s">
        <v>17</v>
      </c>
      <c r="G342" t="s">
        <v>26</v>
      </c>
      <c r="H342" t="s">
        <v>52</v>
      </c>
      <c r="I342" s="3">
        <v>34130</v>
      </c>
      <c r="J342" s="4">
        <v>7</v>
      </c>
      <c r="K342" s="2">
        <v>6383.38</v>
      </c>
    </row>
    <row r="343" spans="1:11" x14ac:dyDescent="0.3">
      <c r="A343" s="1">
        <v>45221</v>
      </c>
      <c r="B343" s="4">
        <f t="shared" si="10"/>
        <v>2023</v>
      </c>
      <c r="C343" s="4">
        <f t="shared" si="11"/>
        <v>10</v>
      </c>
      <c r="D343" t="s">
        <v>25</v>
      </c>
      <c r="E343" t="s">
        <v>46</v>
      </c>
      <c r="F343" t="s">
        <v>17</v>
      </c>
      <c r="G343" t="s">
        <v>35</v>
      </c>
      <c r="H343" t="s">
        <v>36</v>
      </c>
      <c r="I343" s="3">
        <v>36816</v>
      </c>
      <c r="J343" s="4">
        <v>6</v>
      </c>
      <c r="K343" s="2">
        <v>2238.83</v>
      </c>
    </row>
    <row r="344" spans="1:11" x14ac:dyDescent="0.3">
      <c r="A344" s="1">
        <v>45223</v>
      </c>
      <c r="B344" s="4">
        <f t="shared" si="10"/>
        <v>2023</v>
      </c>
      <c r="C344" s="4">
        <f t="shared" si="11"/>
        <v>10</v>
      </c>
      <c r="D344" t="s">
        <v>34</v>
      </c>
      <c r="E344" t="s">
        <v>10</v>
      </c>
      <c r="F344" t="s">
        <v>17</v>
      </c>
      <c r="G344" t="s">
        <v>47</v>
      </c>
      <c r="H344" t="s">
        <v>48</v>
      </c>
      <c r="I344" s="3">
        <v>10086</v>
      </c>
      <c r="J344" s="4">
        <v>1</v>
      </c>
      <c r="K344" s="2">
        <v>1185.9000000000001</v>
      </c>
    </row>
    <row r="345" spans="1:11" x14ac:dyDescent="0.3">
      <c r="A345" s="1">
        <v>45227</v>
      </c>
      <c r="B345" s="4">
        <f t="shared" si="10"/>
        <v>2023</v>
      </c>
      <c r="C345" s="4">
        <f t="shared" si="11"/>
        <v>10</v>
      </c>
      <c r="D345" t="s">
        <v>25</v>
      </c>
      <c r="E345" t="s">
        <v>21</v>
      </c>
      <c r="F345" t="s">
        <v>17</v>
      </c>
      <c r="G345" t="s">
        <v>26</v>
      </c>
      <c r="H345" t="s">
        <v>27</v>
      </c>
      <c r="I345" s="3">
        <v>38779</v>
      </c>
      <c r="J345" s="4">
        <v>5</v>
      </c>
      <c r="K345" s="2">
        <v>2910.48</v>
      </c>
    </row>
    <row r="346" spans="1:11" x14ac:dyDescent="0.3">
      <c r="A346" s="1">
        <v>45232</v>
      </c>
      <c r="B346" s="4">
        <f t="shared" si="10"/>
        <v>2023</v>
      </c>
      <c r="C346" s="4">
        <f t="shared" si="11"/>
        <v>11</v>
      </c>
      <c r="D346" t="s">
        <v>34</v>
      </c>
      <c r="E346" t="s">
        <v>39</v>
      </c>
      <c r="F346" t="s">
        <v>17</v>
      </c>
      <c r="G346" t="s">
        <v>26</v>
      </c>
      <c r="H346" t="s">
        <v>27</v>
      </c>
      <c r="I346" s="3">
        <v>30165</v>
      </c>
      <c r="J346" s="4">
        <v>4</v>
      </c>
      <c r="K346" s="2">
        <v>2481.7199999999998</v>
      </c>
    </row>
    <row r="347" spans="1:11" x14ac:dyDescent="0.3">
      <c r="A347" s="1">
        <v>45233</v>
      </c>
      <c r="B347" s="4">
        <f t="shared" si="10"/>
        <v>2023</v>
      </c>
      <c r="C347" s="4">
        <f t="shared" si="11"/>
        <v>11</v>
      </c>
      <c r="D347" t="s">
        <v>9</v>
      </c>
      <c r="E347" t="s">
        <v>31</v>
      </c>
      <c r="F347" t="s">
        <v>17</v>
      </c>
      <c r="G347" t="s">
        <v>26</v>
      </c>
      <c r="H347" t="s">
        <v>52</v>
      </c>
      <c r="I347" s="3">
        <v>17580</v>
      </c>
      <c r="J347" s="4">
        <v>3</v>
      </c>
      <c r="K347" s="2">
        <v>3340</v>
      </c>
    </row>
    <row r="348" spans="1:11" x14ac:dyDescent="0.3">
      <c r="A348" s="1">
        <v>45236</v>
      </c>
      <c r="B348" s="4">
        <f t="shared" si="10"/>
        <v>2023</v>
      </c>
      <c r="C348" s="4">
        <f t="shared" si="11"/>
        <v>11</v>
      </c>
      <c r="D348" t="s">
        <v>14</v>
      </c>
      <c r="E348" t="s">
        <v>15</v>
      </c>
      <c r="F348" t="s">
        <v>17</v>
      </c>
      <c r="G348" t="s">
        <v>47</v>
      </c>
      <c r="H348" t="s">
        <v>48</v>
      </c>
      <c r="I348" s="3">
        <v>7173</v>
      </c>
      <c r="J348" s="4">
        <v>5</v>
      </c>
      <c r="K348" s="2">
        <v>1264.24</v>
      </c>
    </row>
    <row r="349" spans="1:11" x14ac:dyDescent="0.3">
      <c r="A349" s="1">
        <v>45236</v>
      </c>
      <c r="B349" s="4">
        <f t="shared" si="10"/>
        <v>2023</v>
      </c>
      <c r="C349" s="4">
        <f t="shared" si="11"/>
        <v>11</v>
      </c>
      <c r="D349" t="s">
        <v>57</v>
      </c>
      <c r="E349" t="s">
        <v>15</v>
      </c>
      <c r="F349" t="s">
        <v>22</v>
      </c>
      <c r="G349" t="s">
        <v>40</v>
      </c>
      <c r="H349" t="s">
        <v>41</v>
      </c>
      <c r="I349" s="3">
        <v>17709</v>
      </c>
      <c r="J349" s="4">
        <v>1</v>
      </c>
      <c r="K349" s="2">
        <v>1636.77</v>
      </c>
    </row>
    <row r="350" spans="1:11" x14ac:dyDescent="0.3">
      <c r="A350" s="1">
        <v>45236</v>
      </c>
      <c r="B350" s="4">
        <f t="shared" si="10"/>
        <v>2023</v>
      </c>
      <c r="C350" s="4">
        <f t="shared" si="11"/>
        <v>11</v>
      </c>
      <c r="D350" t="s">
        <v>14</v>
      </c>
      <c r="E350" t="s">
        <v>39</v>
      </c>
      <c r="F350" t="s">
        <v>17</v>
      </c>
      <c r="G350" t="s">
        <v>47</v>
      </c>
      <c r="H350" t="s">
        <v>48</v>
      </c>
      <c r="I350" s="3">
        <v>50720</v>
      </c>
      <c r="J350" s="4">
        <v>9</v>
      </c>
      <c r="K350" s="2">
        <v>8889.59</v>
      </c>
    </row>
    <row r="351" spans="1:11" x14ac:dyDescent="0.3">
      <c r="A351" s="1">
        <v>45239</v>
      </c>
      <c r="B351" s="4">
        <f t="shared" si="10"/>
        <v>2023</v>
      </c>
      <c r="C351" s="4">
        <f t="shared" si="11"/>
        <v>11</v>
      </c>
      <c r="D351" t="s">
        <v>16</v>
      </c>
      <c r="E351" t="s">
        <v>46</v>
      </c>
      <c r="F351" t="s">
        <v>17</v>
      </c>
      <c r="G351" t="s">
        <v>35</v>
      </c>
      <c r="H351" t="s">
        <v>36</v>
      </c>
      <c r="I351" s="3">
        <v>46429</v>
      </c>
      <c r="J351" s="4">
        <v>5</v>
      </c>
      <c r="K351" s="2">
        <v>5215.07</v>
      </c>
    </row>
    <row r="352" spans="1:11" x14ac:dyDescent="0.3">
      <c r="A352" s="1">
        <v>45239</v>
      </c>
      <c r="B352" s="4">
        <f t="shared" si="10"/>
        <v>2023</v>
      </c>
      <c r="C352" s="4">
        <f t="shared" si="11"/>
        <v>11</v>
      </c>
      <c r="D352" t="s">
        <v>25</v>
      </c>
      <c r="E352" t="s">
        <v>31</v>
      </c>
      <c r="F352" t="s">
        <v>11</v>
      </c>
      <c r="G352" t="s">
        <v>12</v>
      </c>
      <c r="H352" t="s">
        <v>13</v>
      </c>
      <c r="I352" s="3">
        <v>368</v>
      </c>
      <c r="J352" s="4">
        <v>1</v>
      </c>
      <c r="K352" s="2">
        <v>65.8</v>
      </c>
    </row>
    <row r="353" spans="1:11" x14ac:dyDescent="0.3">
      <c r="A353" s="1">
        <v>45242</v>
      </c>
      <c r="B353" s="4">
        <f t="shared" si="10"/>
        <v>2023</v>
      </c>
      <c r="C353" s="4">
        <f t="shared" si="11"/>
        <v>11</v>
      </c>
      <c r="D353" t="s">
        <v>14</v>
      </c>
      <c r="E353" t="s">
        <v>46</v>
      </c>
      <c r="F353" t="s">
        <v>11</v>
      </c>
      <c r="G353" t="s">
        <v>53</v>
      </c>
      <c r="H353" t="s">
        <v>54</v>
      </c>
      <c r="I353" s="3">
        <v>29395</v>
      </c>
      <c r="J353" s="4">
        <v>1</v>
      </c>
      <c r="K353" s="2">
        <v>3469.05</v>
      </c>
    </row>
    <row r="354" spans="1:11" x14ac:dyDescent="0.3">
      <c r="A354" s="1">
        <v>45255</v>
      </c>
      <c r="B354" s="4">
        <f t="shared" si="10"/>
        <v>2023</v>
      </c>
      <c r="C354" s="4">
        <f t="shared" si="11"/>
        <v>11</v>
      </c>
      <c r="D354" t="s">
        <v>45</v>
      </c>
      <c r="E354" t="s">
        <v>46</v>
      </c>
      <c r="F354" t="s">
        <v>11</v>
      </c>
      <c r="G354" t="s">
        <v>37</v>
      </c>
      <c r="H354" t="s">
        <v>38</v>
      </c>
      <c r="I354" s="3">
        <v>12721</v>
      </c>
      <c r="J354" s="4">
        <v>2</v>
      </c>
      <c r="K354" s="2">
        <v>1096.5899999999999</v>
      </c>
    </row>
    <row r="355" spans="1:11" x14ac:dyDescent="0.3">
      <c r="A355" s="1">
        <v>45257</v>
      </c>
      <c r="B355" s="4">
        <f t="shared" si="10"/>
        <v>2023</v>
      </c>
      <c r="C355" s="4">
        <f t="shared" si="11"/>
        <v>11</v>
      </c>
      <c r="D355" t="s">
        <v>45</v>
      </c>
      <c r="E355" t="s">
        <v>21</v>
      </c>
      <c r="F355" t="s">
        <v>17</v>
      </c>
      <c r="G355" t="s">
        <v>47</v>
      </c>
      <c r="H355" t="s">
        <v>48</v>
      </c>
      <c r="I355" s="3">
        <v>39975</v>
      </c>
      <c r="J355" s="4">
        <v>9</v>
      </c>
      <c r="K355" s="2">
        <v>3129.92</v>
      </c>
    </row>
    <row r="356" spans="1:11" x14ac:dyDescent="0.3">
      <c r="A356" s="1">
        <v>45259</v>
      </c>
      <c r="B356" s="4">
        <f t="shared" si="10"/>
        <v>2023</v>
      </c>
      <c r="C356" s="4">
        <f t="shared" si="11"/>
        <v>11</v>
      </c>
      <c r="D356" t="s">
        <v>16</v>
      </c>
      <c r="E356" t="s">
        <v>15</v>
      </c>
      <c r="F356" t="s">
        <v>11</v>
      </c>
      <c r="G356" t="s">
        <v>12</v>
      </c>
      <c r="H356" t="s">
        <v>13</v>
      </c>
      <c r="I356" s="3">
        <v>13788</v>
      </c>
      <c r="J356" s="4">
        <v>9</v>
      </c>
      <c r="K356" s="2">
        <v>1361.67</v>
      </c>
    </row>
    <row r="357" spans="1:11" x14ac:dyDescent="0.3">
      <c r="A357" s="1">
        <v>45260</v>
      </c>
      <c r="B357" s="4">
        <f t="shared" si="10"/>
        <v>2023</v>
      </c>
      <c r="C357" s="4">
        <f t="shared" si="11"/>
        <v>11</v>
      </c>
      <c r="D357" t="s">
        <v>14</v>
      </c>
      <c r="E357" t="s">
        <v>31</v>
      </c>
      <c r="F357" t="s">
        <v>17</v>
      </c>
      <c r="G357" t="s">
        <v>47</v>
      </c>
      <c r="H357" t="s">
        <v>48</v>
      </c>
      <c r="I357" s="3">
        <v>30149</v>
      </c>
      <c r="J357" s="4">
        <v>3</v>
      </c>
      <c r="K357" s="2">
        <v>4249.17</v>
      </c>
    </row>
    <row r="358" spans="1:11" x14ac:dyDescent="0.3">
      <c r="A358" s="1">
        <v>45260</v>
      </c>
      <c r="B358" s="4">
        <f t="shared" si="10"/>
        <v>2023</v>
      </c>
      <c r="C358" s="4">
        <f t="shared" si="11"/>
        <v>11</v>
      </c>
      <c r="D358" t="s">
        <v>20</v>
      </c>
      <c r="E358" t="s">
        <v>46</v>
      </c>
      <c r="F358" t="s">
        <v>11</v>
      </c>
      <c r="G358" t="s">
        <v>32</v>
      </c>
      <c r="H358" t="s">
        <v>33</v>
      </c>
      <c r="I358" s="3">
        <v>34482</v>
      </c>
      <c r="J358" s="4">
        <v>10</v>
      </c>
      <c r="K358" s="2">
        <v>2216.7199999999998</v>
      </c>
    </row>
    <row r="359" spans="1:11" x14ac:dyDescent="0.3">
      <c r="A359" s="1">
        <v>45269</v>
      </c>
      <c r="B359" s="4">
        <f t="shared" si="10"/>
        <v>2023</v>
      </c>
      <c r="C359" s="4">
        <f t="shared" si="11"/>
        <v>12</v>
      </c>
      <c r="D359" t="s">
        <v>14</v>
      </c>
      <c r="E359" t="s">
        <v>15</v>
      </c>
      <c r="F359" t="s">
        <v>22</v>
      </c>
      <c r="G359" t="s">
        <v>43</v>
      </c>
      <c r="H359" t="s">
        <v>59</v>
      </c>
      <c r="I359" s="3">
        <v>23832</v>
      </c>
      <c r="J359" s="4">
        <v>2</v>
      </c>
      <c r="K359" s="2">
        <v>4599.83</v>
      </c>
    </row>
    <row r="360" spans="1:11" x14ac:dyDescent="0.3">
      <c r="A360" s="1">
        <v>45280</v>
      </c>
      <c r="B360" s="4">
        <f t="shared" si="10"/>
        <v>2023</v>
      </c>
      <c r="C360" s="4">
        <f t="shared" si="11"/>
        <v>12</v>
      </c>
      <c r="D360" t="s">
        <v>25</v>
      </c>
      <c r="E360" t="s">
        <v>21</v>
      </c>
      <c r="F360" t="s">
        <v>17</v>
      </c>
      <c r="G360" t="s">
        <v>18</v>
      </c>
      <c r="H360" t="s">
        <v>19</v>
      </c>
      <c r="I360" s="3">
        <v>8545</v>
      </c>
      <c r="J360" s="4">
        <v>4</v>
      </c>
      <c r="K360" s="2">
        <v>1497.28</v>
      </c>
    </row>
    <row r="361" spans="1:11" x14ac:dyDescent="0.3">
      <c r="A361" s="1">
        <v>45281</v>
      </c>
      <c r="B361" s="4">
        <f t="shared" si="10"/>
        <v>2023</v>
      </c>
      <c r="C361" s="4">
        <f t="shared" si="11"/>
        <v>12</v>
      </c>
      <c r="D361" t="s">
        <v>57</v>
      </c>
      <c r="E361" t="s">
        <v>31</v>
      </c>
      <c r="F361" t="s">
        <v>17</v>
      </c>
      <c r="G361" t="s">
        <v>18</v>
      </c>
      <c r="H361" t="s">
        <v>19</v>
      </c>
      <c r="I361" s="3">
        <v>24248</v>
      </c>
      <c r="J361" s="4">
        <v>7</v>
      </c>
      <c r="K361" s="2">
        <v>2355.88</v>
      </c>
    </row>
    <row r="362" spans="1:11" x14ac:dyDescent="0.3">
      <c r="A362" s="1">
        <v>45283</v>
      </c>
      <c r="B362" s="4">
        <f t="shared" si="10"/>
        <v>2023</v>
      </c>
      <c r="C362" s="4">
        <f t="shared" si="11"/>
        <v>12</v>
      </c>
      <c r="D362" t="s">
        <v>34</v>
      </c>
      <c r="E362" t="s">
        <v>31</v>
      </c>
      <c r="F362" t="s">
        <v>17</v>
      </c>
      <c r="G362" t="s">
        <v>26</v>
      </c>
      <c r="H362" t="s">
        <v>52</v>
      </c>
      <c r="I362" s="3">
        <v>14298</v>
      </c>
      <c r="J362" s="4">
        <v>7</v>
      </c>
      <c r="K362" s="2">
        <v>1615.31</v>
      </c>
    </row>
    <row r="363" spans="1:11" x14ac:dyDescent="0.3">
      <c r="A363" s="1">
        <v>45283</v>
      </c>
      <c r="B363" s="4">
        <f t="shared" si="10"/>
        <v>2023</v>
      </c>
      <c r="C363" s="4">
        <f t="shared" si="11"/>
        <v>12</v>
      </c>
      <c r="D363" t="s">
        <v>42</v>
      </c>
      <c r="E363" t="s">
        <v>46</v>
      </c>
      <c r="F363" t="s">
        <v>11</v>
      </c>
      <c r="G363" t="s">
        <v>32</v>
      </c>
      <c r="H363" t="s">
        <v>33</v>
      </c>
      <c r="I363" s="3">
        <v>37115</v>
      </c>
      <c r="J363" s="4">
        <v>1</v>
      </c>
      <c r="K363" s="2">
        <v>5253.55</v>
      </c>
    </row>
    <row r="364" spans="1:11" x14ac:dyDescent="0.3">
      <c r="A364" s="1">
        <v>45286</v>
      </c>
      <c r="B364" s="4">
        <f t="shared" si="10"/>
        <v>2023</v>
      </c>
      <c r="C364" s="4">
        <f t="shared" si="11"/>
        <v>12</v>
      </c>
      <c r="D364" t="s">
        <v>34</v>
      </c>
      <c r="E364" t="s">
        <v>31</v>
      </c>
      <c r="F364" t="s">
        <v>22</v>
      </c>
      <c r="G364" t="s">
        <v>29</v>
      </c>
      <c r="H364" t="s">
        <v>58</v>
      </c>
      <c r="I364" s="3">
        <v>25056</v>
      </c>
      <c r="J364" s="4">
        <v>4</v>
      </c>
      <c r="K364" s="2">
        <v>2183.0500000000002</v>
      </c>
    </row>
    <row r="365" spans="1:11" x14ac:dyDescent="0.3">
      <c r="A365" s="1">
        <v>45288</v>
      </c>
      <c r="B365" s="4">
        <f t="shared" si="10"/>
        <v>2023</v>
      </c>
      <c r="C365" s="4">
        <f t="shared" si="11"/>
        <v>12</v>
      </c>
      <c r="D365" t="s">
        <v>34</v>
      </c>
      <c r="E365" t="s">
        <v>39</v>
      </c>
      <c r="F365" t="s">
        <v>11</v>
      </c>
      <c r="G365" t="s">
        <v>12</v>
      </c>
      <c r="H365" t="s">
        <v>13</v>
      </c>
      <c r="I365" s="3">
        <v>28274</v>
      </c>
      <c r="J365" s="4">
        <v>6</v>
      </c>
      <c r="K365" s="2">
        <v>1706.15</v>
      </c>
    </row>
    <row r="366" spans="1:11" x14ac:dyDescent="0.3">
      <c r="A366" s="1">
        <v>45290</v>
      </c>
      <c r="B366" s="4">
        <f t="shared" si="10"/>
        <v>2023</v>
      </c>
      <c r="C366" s="4">
        <f t="shared" si="11"/>
        <v>12</v>
      </c>
      <c r="D366" t="s">
        <v>16</v>
      </c>
      <c r="E366" t="s">
        <v>31</v>
      </c>
      <c r="F366" t="s">
        <v>11</v>
      </c>
      <c r="G366" t="s">
        <v>53</v>
      </c>
      <c r="H366" t="s">
        <v>54</v>
      </c>
      <c r="I366" s="3">
        <v>15874</v>
      </c>
      <c r="J366" s="4">
        <v>5</v>
      </c>
      <c r="K366" s="2">
        <v>3092.88</v>
      </c>
    </row>
    <row r="367" spans="1:11" x14ac:dyDescent="0.3">
      <c r="A367" s="1">
        <v>45291</v>
      </c>
      <c r="B367" s="4">
        <f t="shared" si="10"/>
        <v>2023</v>
      </c>
      <c r="C367" s="4">
        <f t="shared" si="11"/>
        <v>12</v>
      </c>
      <c r="D367" t="s">
        <v>20</v>
      </c>
      <c r="E367" t="s">
        <v>46</v>
      </c>
      <c r="F367" t="s">
        <v>22</v>
      </c>
      <c r="G367" t="s">
        <v>55</v>
      </c>
      <c r="H367" t="s">
        <v>56</v>
      </c>
      <c r="I367" s="3">
        <v>26264</v>
      </c>
      <c r="J367" s="4">
        <v>4</v>
      </c>
      <c r="K367" s="2">
        <v>5127.24</v>
      </c>
    </row>
    <row r="368" spans="1:11" x14ac:dyDescent="0.3">
      <c r="A368" s="1">
        <v>45293</v>
      </c>
      <c r="B368" s="4">
        <f t="shared" si="10"/>
        <v>2024</v>
      </c>
      <c r="C368" s="4">
        <f t="shared" si="11"/>
        <v>1</v>
      </c>
      <c r="D368" t="s">
        <v>57</v>
      </c>
      <c r="E368" t="s">
        <v>46</v>
      </c>
      <c r="F368" t="s">
        <v>11</v>
      </c>
      <c r="G368" t="s">
        <v>12</v>
      </c>
      <c r="H368" t="s">
        <v>13</v>
      </c>
      <c r="I368" s="3">
        <v>57880</v>
      </c>
      <c r="J368" s="4">
        <v>6</v>
      </c>
      <c r="K368" s="2">
        <v>10515.87</v>
      </c>
    </row>
    <row r="369" spans="1:11" x14ac:dyDescent="0.3">
      <c r="A369" s="1">
        <v>45294</v>
      </c>
      <c r="B369" s="4">
        <f t="shared" si="10"/>
        <v>2024</v>
      </c>
      <c r="C369" s="4">
        <f t="shared" si="11"/>
        <v>1</v>
      </c>
      <c r="D369" t="s">
        <v>45</v>
      </c>
      <c r="E369" t="s">
        <v>31</v>
      </c>
      <c r="F369" t="s">
        <v>17</v>
      </c>
      <c r="G369" t="s">
        <v>26</v>
      </c>
      <c r="H369" t="s">
        <v>27</v>
      </c>
      <c r="I369" s="3">
        <v>18988</v>
      </c>
      <c r="J369" s="4">
        <v>1</v>
      </c>
      <c r="K369" s="2">
        <v>2379.81</v>
      </c>
    </row>
    <row r="370" spans="1:11" x14ac:dyDescent="0.3">
      <c r="A370" s="1">
        <v>45297</v>
      </c>
      <c r="B370" s="4">
        <f t="shared" si="10"/>
        <v>2024</v>
      </c>
      <c r="C370" s="4">
        <f t="shared" si="11"/>
        <v>1</v>
      </c>
      <c r="D370" t="s">
        <v>28</v>
      </c>
      <c r="E370" t="s">
        <v>39</v>
      </c>
      <c r="F370" t="s">
        <v>22</v>
      </c>
      <c r="G370" t="s">
        <v>29</v>
      </c>
      <c r="H370" t="s">
        <v>58</v>
      </c>
      <c r="I370" s="3">
        <v>52759</v>
      </c>
      <c r="J370" s="4">
        <v>4</v>
      </c>
      <c r="K370" s="2">
        <v>8667.19</v>
      </c>
    </row>
    <row r="371" spans="1:11" x14ac:dyDescent="0.3">
      <c r="A371" s="1">
        <v>45308</v>
      </c>
      <c r="B371" s="4">
        <f t="shared" si="10"/>
        <v>2024</v>
      </c>
      <c r="C371" s="4">
        <f t="shared" si="11"/>
        <v>1</v>
      </c>
      <c r="D371" t="s">
        <v>45</v>
      </c>
      <c r="E371" t="s">
        <v>46</v>
      </c>
      <c r="F371" t="s">
        <v>22</v>
      </c>
      <c r="G371" t="s">
        <v>40</v>
      </c>
      <c r="H371" t="s">
        <v>41</v>
      </c>
      <c r="I371" s="3">
        <v>30734</v>
      </c>
      <c r="J371" s="4">
        <v>7</v>
      </c>
      <c r="K371" s="2">
        <v>1823.75</v>
      </c>
    </row>
    <row r="372" spans="1:11" x14ac:dyDescent="0.3">
      <c r="A372" s="1">
        <v>45309</v>
      </c>
      <c r="B372" s="4">
        <f t="shared" si="10"/>
        <v>2024</v>
      </c>
      <c r="C372" s="4">
        <f t="shared" si="11"/>
        <v>1</v>
      </c>
      <c r="D372" t="s">
        <v>20</v>
      </c>
      <c r="E372" t="s">
        <v>21</v>
      </c>
      <c r="F372" t="s">
        <v>22</v>
      </c>
      <c r="G372" t="s">
        <v>55</v>
      </c>
      <c r="H372" t="s">
        <v>56</v>
      </c>
      <c r="I372" s="3">
        <v>31224</v>
      </c>
      <c r="J372" s="4">
        <v>5</v>
      </c>
      <c r="K372" s="2">
        <v>1732.72</v>
      </c>
    </row>
    <row r="373" spans="1:11" x14ac:dyDescent="0.3">
      <c r="A373" s="1">
        <v>45315</v>
      </c>
      <c r="B373" s="4">
        <f t="shared" si="10"/>
        <v>2024</v>
      </c>
      <c r="C373" s="4">
        <f t="shared" si="11"/>
        <v>1</v>
      </c>
      <c r="D373" t="s">
        <v>28</v>
      </c>
      <c r="E373" t="s">
        <v>10</v>
      </c>
      <c r="F373" t="s">
        <v>22</v>
      </c>
      <c r="G373" t="s">
        <v>40</v>
      </c>
      <c r="H373" t="s">
        <v>41</v>
      </c>
      <c r="I373" s="3">
        <v>24798</v>
      </c>
      <c r="J373" s="4">
        <v>2</v>
      </c>
      <c r="K373" s="2">
        <v>4322.8100000000004</v>
      </c>
    </row>
    <row r="374" spans="1:11" x14ac:dyDescent="0.3">
      <c r="A374" s="1">
        <v>45317</v>
      </c>
      <c r="B374" s="4">
        <f t="shared" si="10"/>
        <v>2024</v>
      </c>
      <c r="C374" s="4">
        <f t="shared" si="11"/>
        <v>1</v>
      </c>
      <c r="D374" t="s">
        <v>20</v>
      </c>
      <c r="E374" t="s">
        <v>10</v>
      </c>
      <c r="F374" t="s">
        <v>22</v>
      </c>
      <c r="G374" t="s">
        <v>40</v>
      </c>
      <c r="H374" t="s">
        <v>41</v>
      </c>
      <c r="I374" s="3">
        <v>16763</v>
      </c>
      <c r="J374" s="4">
        <v>8</v>
      </c>
      <c r="K374" s="2">
        <v>2602.96</v>
      </c>
    </row>
    <row r="375" spans="1:11" x14ac:dyDescent="0.3">
      <c r="A375" s="1">
        <v>45322</v>
      </c>
      <c r="B375" s="4">
        <f t="shared" si="10"/>
        <v>2024</v>
      </c>
      <c r="C375" s="4">
        <f t="shared" si="11"/>
        <v>1</v>
      </c>
      <c r="D375" t="s">
        <v>57</v>
      </c>
      <c r="E375" t="s">
        <v>15</v>
      </c>
      <c r="F375" t="s">
        <v>17</v>
      </c>
      <c r="G375" t="s">
        <v>35</v>
      </c>
      <c r="H375" t="s">
        <v>36</v>
      </c>
      <c r="I375" s="3">
        <v>33676</v>
      </c>
      <c r="J375" s="4">
        <v>2</v>
      </c>
      <c r="K375" s="2">
        <v>4576.8100000000004</v>
      </c>
    </row>
    <row r="376" spans="1:11" x14ac:dyDescent="0.3">
      <c r="A376" s="1">
        <v>45324</v>
      </c>
      <c r="B376" s="4">
        <f t="shared" si="10"/>
        <v>2024</v>
      </c>
      <c r="C376" s="4">
        <f t="shared" si="11"/>
        <v>2</v>
      </c>
      <c r="D376" t="s">
        <v>57</v>
      </c>
      <c r="E376" t="s">
        <v>21</v>
      </c>
      <c r="F376" t="s">
        <v>11</v>
      </c>
      <c r="G376" t="s">
        <v>37</v>
      </c>
      <c r="H376" t="s">
        <v>38</v>
      </c>
      <c r="I376" s="3">
        <v>21878</v>
      </c>
      <c r="J376" s="4">
        <v>6</v>
      </c>
      <c r="K376" s="2">
        <v>3400.46</v>
      </c>
    </row>
    <row r="377" spans="1:11" x14ac:dyDescent="0.3">
      <c r="A377" s="1">
        <v>45324</v>
      </c>
      <c r="B377" s="4">
        <f t="shared" si="10"/>
        <v>2024</v>
      </c>
      <c r="C377" s="4">
        <f t="shared" si="11"/>
        <v>2</v>
      </c>
      <c r="D377" t="s">
        <v>45</v>
      </c>
      <c r="E377" t="s">
        <v>31</v>
      </c>
      <c r="F377" t="s">
        <v>22</v>
      </c>
      <c r="G377" t="s">
        <v>40</v>
      </c>
      <c r="H377" t="s">
        <v>41</v>
      </c>
      <c r="I377" s="3">
        <v>31593</v>
      </c>
      <c r="J377" s="4">
        <v>1</v>
      </c>
      <c r="K377" s="2">
        <v>1995.36</v>
      </c>
    </row>
    <row r="378" spans="1:11" x14ac:dyDescent="0.3">
      <c r="A378" s="1">
        <v>45324</v>
      </c>
      <c r="B378" s="4">
        <f t="shared" si="10"/>
        <v>2024</v>
      </c>
      <c r="C378" s="4">
        <f t="shared" si="11"/>
        <v>2</v>
      </c>
      <c r="D378" t="s">
        <v>20</v>
      </c>
      <c r="E378" t="s">
        <v>39</v>
      </c>
      <c r="F378" t="s">
        <v>17</v>
      </c>
      <c r="G378" t="s">
        <v>18</v>
      </c>
      <c r="H378" t="s">
        <v>19</v>
      </c>
      <c r="I378" s="3">
        <v>42360</v>
      </c>
      <c r="J378" s="4">
        <v>7</v>
      </c>
      <c r="K378" s="2">
        <v>4680.42</v>
      </c>
    </row>
    <row r="379" spans="1:11" x14ac:dyDescent="0.3">
      <c r="A379" s="1">
        <v>45327</v>
      </c>
      <c r="B379" s="4">
        <f t="shared" si="10"/>
        <v>2024</v>
      </c>
      <c r="C379" s="4">
        <f t="shared" si="11"/>
        <v>2</v>
      </c>
      <c r="D379" t="s">
        <v>16</v>
      </c>
      <c r="E379" t="s">
        <v>31</v>
      </c>
      <c r="F379" t="s">
        <v>17</v>
      </c>
      <c r="G379" t="s">
        <v>18</v>
      </c>
      <c r="H379" t="s">
        <v>19</v>
      </c>
      <c r="I379" s="3">
        <v>10694</v>
      </c>
      <c r="J379" s="4">
        <v>6</v>
      </c>
      <c r="K379" s="2">
        <v>1432.75</v>
      </c>
    </row>
    <row r="380" spans="1:11" x14ac:dyDescent="0.3">
      <c r="A380" s="1">
        <v>45330</v>
      </c>
      <c r="B380" s="4">
        <f t="shared" si="10"/>
        <v>2024</v>
      </c>
      <c r="C380" s="4">
        <f t="shared" si="11"/>
        <v>2</v>
      </c>
      <c r="D380" t="s">
        <v>16</v>
      </c>
      <c r="E380" t="s">
        <v>15</v>
      </c>
      <c r="F380" t="s">
        <v>11</v>
      </c>
      <c r="G380" t="s">
        <v>32</v>
      </c>
      <c r="H380" t="s">
        <v>33</v>
      </c>
      <c r="I380" s="3">
        <v>19113</v>
      </c>
      <c r="J380" s="4">
        <v>2</v>
      </c>
      <c r="K380" s="2">
        <v>2063.29</v>
      </c>
    </row>
    <row r="381" spans="1:11" x14ac:dyDescent="0.3">
      <c r="A381" s="1">
        <v>45330</v>
      </c>
      <c r="B381" s="4">
        <f t="shared" si="10"/>
        <v>2024</v>
      </c>
      <c r="C381" s="4">
        <f t="shared" si="11"/>
        <v>2</v>
      </c>
      <c r="D381" t="s">
        <v>57</v>
      </c>
      <c r="E381" t="s">
        <v>10</v>
      </c>
      <c r="F381" t="s">
        <v>11</v>
      </c>
      <c r="G381" t="s">
        <v>12</v>
      </c>
      <c r="H381" t="s">
        <v>13</v>
      </c>
      <c r="I381" s="3">
        <v>39587</v>
      </c>
      <c r="J381" s="4">
        <v>10</v>
      </c>
      <c r="K381" s="2">
        <v>6261.75</v>
      </c>
    </row>
    <row r="382" spans="1:11" x14ac:dyDescent="0.3">
      <c r="A382" s="1">
        <v>45333</v>
      </c>
      <c r="B382" s="4">
        <f t="shared" si="10"/>
        <v>2024</v>
      </c>
      <c r="C382" s="4">
        <f t="shared" si="11"/>
        <v>2</v>
      </c>
      <c r="D382" t="s">
        <v>42</v>
      </c>
      <c r="E382" t="s">
        <v>21</v>
      </c>
      <c r="F382" t="s">
        <v>22</v>
      </c>
      <c r="G382" t="s">
        <v>29</v>
      </c>
      <c r="H382" t="s">
        <v>30</v>
      </c>
      <c r="I382" s="3">
        <v>11135</v>
      </c>
      <c r="J382" s="4">
        <v>8</v>
      </c>
      <c r="K382" s="2">
        <v>1039.18</v>
      </c>
    </row>
    <row r="383" spans="1:11" x14ac:dyDescent="0.3">
      <c r="A383" s="1">
        <v>45340</v>
      </c>
      <c r="B383" s="4">
        <f t="shared" si="10"/>
        <v>2024</v>
      </c>
      <c r="C383" s="4">
        <f t="shared" si="11"/>
        <v>2</v>
      </c>
      <c r="D383" t="s">
        <v>42</v>
      </c>
      <c r="E383" t="s">
        <v>15</v>
      </c>
      <c r="F383" t="s">
        <v>22</v>
      </c>
      <c r="G383" t="s">
        <v>40</v>
      </c>
      <c r="H383" t="s">
        <v>41</v>
      </c>
      <c r="I383" s="3">
        <v>58662</v>
      </c>
      <c r="J383" s="4">
        <v>10</v>
      </c>
      <c r="K383" s="2">
        <v>3413.24</v>
      </c>
    </row>
    <row r="384" spans="1:11" x14ac:dyDescent="0.3">
      <c r="A384" s="1">
        <v>45341</v>
      </c>
      <c r="B384" s="4">
        <f t="shared" si="10"/>
        <v>2024</v>
      </c>
      <c r="C384" s="4">
        <f t="shared" si="11"/>
        <v>2</v>
      </c>
      <c r="D384" t="s">
        <v>45</v>
      </c>
      <c r="E384" t="s">
        <v>21</v>
      </c>
      <c r="F384" t="s">
        <v>22</v>
      </c>
      <c r="G384" t="s">
        <v>29</v>
      </c>
      <c r="H384" t="s">
        <v>30</v>
      </c>
      <c r="I384" s="3">
        <v>30502</v>
      </c>
      <c r="J384" s="4">
        <v>5</v>
      </c>
      <c r="K384" s="2">
        <v>4834.32</v>
      </c>
    </row>
    <row r="385" spans="1:11" x14ac:dyDescent="0.3">
      <c r="A385" s="1">
        <v>45342</v>
      </c>
      <c r="B385" s="4">
        <f t="shared" si="10"/>
        <v>2024</v>
      </c>
      <c r="C385" s="4">
        <f t="shared" si="11"/>
        <v>2</v>
      </c>
      <c r="D385" t="s">
        <v>42</v>
      </c>
      <c r="E385" t="s">
        <v>10</v>
      </c>
      <c r="F385" t="s">
        <v>22</v>
      </c>
      <c r="G385" t="s">
        <v>40</v>
      </c>
      <c r="H385" t="s">
        <v>41</v>
      </c>
      <c r="I385" s="3">
        <v>59523</v>
      </c>
      <c r="J385" s="4">
        <v>4</v>
      </c>
      <c r="K385" s="2">
        <v>8082.87</v>
      </c>
    </row>
    <row r="386" spans="1:11" x14ac:dyDescent="0.3">
      <c r="A386" s="1">
        <v>45344</v>
      </c>
      <c r="B386" s="4">
        <f t="shared" ref="B386:B449" si="12">YEAR(A386)</f>
        <v>2024</v>
      </c>
      <c r="C386" s="4">
        <f t="shared" ref="C386:C449" si="13">MONTH(A386)</f>
        <v>2</v>
      </c>
      <c r="D386" t="s">
        <v>34</v>
      </c>
      <c r="E386" t="s">
        <v>10</v>
      </c>
      <c r="F386" t="s">
        <v>17</v>
      </c>
      <c r="G386" t="s">
        <v>35</v>
      </c>
      <c r="H386" t="s">
        <v>36</v>
      </c>
      <c r="I386" s="3">
        <v>50493</v>
      </c>
      <c r="J386" s="4">
        <v>10</v>
      </c>
      <c r="K386" s="2">
        <v>7068.65</v>
      </c>
    </row>
    <row r="387" spans="1:11" x14ac:dyDescent="0.3">
      <c r="A387" s="1">
        <v>45352</v>
      </c>
      <c r="B387" s="4">
        <f t="shared" si="12"/>
        <v>2024</v>
      </c>
      <c r="C387" s="4">
        <f t="shared" si="13"/>
        <v>3</v>
      </c>
      <c r="D387" t="s">
        <v>9</v>
      </c>
      <c r="E387" t="s">
        <v>39</v>
      </c>
      <c r="F387" t="s">
        <v>22</v>
      </c>
      <c r="G387" t="s">
        <v>43</v>
      </c>
      <c r="H387" t="s">
        <v>44</v>
      </c>
      <c r="I387" s="3">
        <v>4239</v>
      </c>
      <c r="J387" s="4">
        <v>3</v>
      </c>
      <c r="K387" s="2">
        <v>690.26</v>
      </c>
    </row>
    <row r="388" spans="1:11" x14ac:dyDescent="0.3">
      <c r="A388" s="1">
        <v>45357</v>
      </c>
      <c r="B388" s="4">
        <f t="shared" si="12"/>
        <v>2024</v>
      </c>
      <c r="C388" s="4">
        <f t="shared" si="13"/>
        <v>3</v>
      </c>
      <c r="D388" t="s">
        <v>9</v>
      </c>
      <c r="E388" t="s">
        <v>39</v>
      </c>
      <c r="F388" t="s">
        <v>22</v>
      </c>
      <c r="G388" t="s">
        <v>43</v>
      </c>
      <c r="H388" t="s">
        <v>59</v>
      </c>
      <c r="I388" s="3">
        <v>38730</v>
      </c>
      <c r="J388" s="4">
        <v>10</v>
      </c>
      <c r="K388" s="2">
        <v>6342.29</v>
      </c>
    </row>
    <row r="389" spans="1:11" x14ac:dyDescent="0.3">
      <c r="A389" s="1">
        <v>45359</v>
      </c>
      <c r="B389" s="4">
        <f t="shared" si="12"/>
        <v>2024</v>
      </c>
      <c r="C389" s="4">
        <f t="shared" si="13"/>
        <v>3</v>
      </c>
      <c r="D389" t="s">
        <v>42</v>
      </c>
      <c r="E389" t="s">
        <v>31</v>
      </c>
      <c r="F389" t="s">
        <v>22</v>
      </c>
      <c r="G389" t="s">
        <v>55</v>
      </c>
      <c r="H389" t="s">
        <v>56</v>
      </c>
      <c r="I389" s="3">
        <v>39274</v>
      </c>
      <c r="J389" s="4">
        <v>2</v>
      </c>
      <c r="K389" s="2">
        <v>7167.56</v>
      </c>
    </row>
    <row r="390" spans="1:11" x14ac:dyDescent="0.3">
      <c r="A390" s="1">
        <v>45359</v>
      </c>
      <c r="B390" s="4">
        <f t="shared" si="12"/>
        <v>2024</v>
      </c>
      <c r="C390" s="4">
        <f t="shared" si="13"/>
        <v>3</v>
      </c>
      <c r="D390" t="s">
        <v>28</v>
      </c>
      <c r="E390" t="s">
        <v>31</v>
      </c>
      <c r="F390" t="s">
        <v>17</v>
      </c>
      <c r="G390" t="s">
        <v>26</v>
      </c>
      <c r="H390" t="s">
        <v>27</v>
      </c>
      <c r="I390" s="3">
        <v>2322</v>
      </c>
      <c r="J390" s="4">
        <v>3</v>
      </c>
      <c r="K390" s="2">
        <v>325.91000000000003</v>
      </c>
    </row>
    <row r="391" spans="1:11" x14ac:dyDescent="0.3">
      <c r="A391" s="1">
        <v>45362</v>
      </c>
      <c r="B391" s="4">
        <f t="shared" si="12"/>
        <v>2024</v>
      </c>
      <c r="C391" s="4">
        <f t="shared" si="13"/>
        <v>3</v>
      </c>
      <c r="D391" t="s">
        <v>45</v>
      </c>
      <c r="E391" t="s">
        <v>21</v>
      </c>
      <c r="F391" t="s">
        <v>17</v>
      </c>
      <c r="G391" t="s">
        <v>35</v>
      </c>
      <c r="H391" t="s">
        <v>36</v>
      </c>
      <c r="I391" s="3">
        <v>44659</v>
      </c>
      <c r="J391" s="4">
        <v>8</v>
      </c>
      <c r="K391" s="2">
        <v>3447.19</v>
      </c>
    </row>
    <row r="392" spans="1:11" x14ac:dyDescent="0.3">
      <c r="A392" s="1">
        <v>45369</v>
      </c>
      <c r="B392" s="4">
        <f t="shared" si="12"/>
        <v>2024</v>
      </c>
      <c r="C392" s="4">
        <f t="shared" si="13"/>
        <v>3</v>
      </c>
      <c r="D392" t="s">
        <v>16</v>
      </c>
      <c r="E392" t="s">
        <v>21</v>
      </c>
      <c r="F392" t="s">
        <v>17</v>
      </c>
      <c r="G392" t="s">
        <v>49</v>
      </c>
      <c r="H392" t="s">
        <v>51</v>
      </c>
      <c r="I392" s="3">
        <v>46109</v>
      </c>
      <c r="J392" s="4">
        <v>2</v>
      </c>
      <c r="K392" s="2">
        <v>3624.98</v>
      </c>
    </row>
    <row r="393" spans="1:11" x14ac:dyDescent="0.3">
      <c r="A393" s="1">
        <v>45369</v>
      </c>
      <c r="B393" s="4">
        <f t="shared" si="12"/>
        <v>2024</v>
      </c>
      <c r="C393" s="4">
        <f t="shared" si="13"/>
        <v>3</v>
      </c>
      <c r="D393" t="s">
        <v>9</v>
      </c>
      <c r="E393" t="s">
        <v>46</v>
      </c>
      <c r="F393" t="s">
        <v>22</v>
      </c>
      <c r="G393" t="s">
        <v>29</v>
      </c>
      <c r="H393" t="s">
        <v>58</v>
      </c>
      <c r="I393" s="3">
        <v>57980</v>
      </c>
      <c r="J393" s="4">
        <v>4</v>
      </c>
      <c r="K393" s="2">
        <v>7041.05</v>
      </c>
    </row>
    <row r="394" spans="1:11" x14ac:dyDescent="0.3">
      <c r="A394" s="1">
        <v>45376</v>
      </c>
      <c r="B394" s="4">
        <f t="shared" si="12"/>
        <v>2024</v>
      </c>
      <c r="C394" s="4">
        <f t="shared" si="13"/>
        <v>3</v>
      </c>
      <c r="D394" t="s">
        <v>34</v>
      </c>
      <c r="E394" t="s">
        <v>31</v>
      </c>
      <c r="F394" t="s">
        <v>11</v>
      </c>
      <c r="G394" t="s">
        <v>37</v>
      </c>
      <c r="H394" t="s">
        <v>38</v>
      </c>
      <c r="I394" s="3">
        <v>21099</v>
      </c>
      <c r="J394" s="4">
        <v>10</v>
      </c>
      <c r="K394" s="2">
        <v>2947.27</v>
      </c>
    </row>
    <row r="395" spans="1:11" x14ac:dyDescent="0.3">
      <c r="A395" s="1">
        <v>45376</v>
      </c>
      <c r="B395" s="4">
        <f t="shared" si="12"/>
        <v>2024</v>
      </c>
      <c r="C395" s="4">
        <f t="shared" si="13"/>
        <v>3</v>
      </c>
      <c r="D395" t="s">
        <v>42</v>
      </c>
      <c r="E395" t="s">
        <v>31</v>
      </c>
      <c r="F395" t="s">
        <v>11</v>
      </c>
      <c r="G395" t="s">
        <v>12</v>
      </c>
      <c r="H395" t="s">
        <v>13</v>
      </c>
      <c r="I395" s="3">
        <v>55676</v>
      </c>
      <c r="J395" s="4">
        <v>7</v>
      </c>
      <c r="K395" s="2">
        <v>5746.92</v>
      </c>
    </row>
    <row r="396" spans="1:11" x14ac:dyDescent="0.3">
      <c r="A396" s="1">
        <v>45382</v>
      </c>
      <c r="B396" s="4">
        <f t="shared" si="12"/>
        <v>2024</v>
      </c>
      <c r="C396" s="4">
        <f t="shared" si="13"/>
        <v>3</v>
      </c>
      <c r="D396" t="s">
        <v>45</v>
      </c>
      <c r="E396" t="s">
        <v>10</v>
      </c>
      <c r="F396" t="s">
        <v>17</v>
      </c>
      <c r="G396" t="s">
        <v>18</v>
      </c>
      <c r="H396" t="s">
        <v>19</v>
      </c>
      <c r="I396" s="3">
        <v>39162</v>
      </c>
      <c r="J396" s="4">
        <v>1</v>
      </c>
      <c r="K396" s="2">
        <v>5596.53</v>
      </c>
    </row>
    <row r="397" spans="1:11" x14ac:dyDescent="0.3">
      <c r="A397" s="1">
        <v>45385</v>
      </c>
      <c r="B397" s="4">
        <f t="shared" si="12"/>
        <v>2024</v>
      </c>
      <c r="C397" s="4">
        <f t="shared" si="13"/>
        <v>4</v>
      </c>
      <c r="D397" t="s">
        <v>28</v>
      </c>
      <c r="E397" t="s">
        <v>10</v>
      </c>
      <c r="F397" t="s">
        <v>11</v>
      </c>
      <c r="G397" t="s">
        <v>53</v>
      </c>
      <c r="H397" t="s">
        <v>54</v>
      </c>
      <c r="I397" s="3">
        <v>36527</v>
      </c>
      <c r="J397" s="4">
        <v>1</v>
      </c>
      <c r="K397" s="2">
        <v>4290.46</v>
      </c>
    </row>
    <row r="398" spans="1:11" x14ac:dyDescent="0.3">
      <c r="A398" s="1">
        <v>45391</v>
      </c>
      <c r="B398" s="4">
        <f t="shared" si="12"/>
        <v>2024</v>
      </c>
      <c r="C398" s="4">
        <f t="shared" si="13"/>
        <v>4</v>
      </c>
      <c r="D398" t="s">
        <v>57</v>
      </c>
      <c r="E398" t="s">
        <v>46</v>
      </c>
      <c r="F398" t="s">
        <v>11</v>
      </c>
      <c r="G398" t="s">
        <v>32</v>
      </c>
      <c r="H398" t="s">
        <v>33</v>
      </c>
      <c r="I398" s="3">
        <v>9579</v>
      </c>
      <c r="J398" s="4">
        <v>4</v>
      </c>
      <c r="K398" s="2">
        <v>1141.55</v>
      </c>
    </row>
    <row r="399" spans="1:11" x14ac:dyDescent="0.3">
      <c r="A399" s="1">
        <v>45392</v>
      </c>
      <c r="B399" s="4">
        <f t="shared" si="12"/>
        <v>2024</v>
      </c>
      <c r="C399" s="4">
        <f t="shared" si="13"/>
        <v>4</v>
      </c>
      <c r="D399" t="s">
        <v>42</v>
      </c>
      <c r="E399" t="s">
        <v>15</v>
      </c>
      <c r="F399" t="s">
        <v>11</v>
      </c>
      <c r="G399" t="s">
        <v>37</v>
      </c>
      <c r="H399" t="s">
        <v>38</v>
      </c>
      <c r="I399" s="3">
        <v>26375</v>
      </c>
      <c r="J399" s="4">
        <v>6</v>
      </c>
      <c r="K399" s="2">
        <v>2186.44</v>
      </c>
    </row>
    <row r="400" spans="1:11" x14ac:dyDescent="0.3">
      <c r="A400" s="1">
        <v>45392</v>
      </c>
      <c r="B400" s="4">
        <f t="shared" si="12"/>
        <v>2024</v>
      </c>
      <c r="C400" s="4">
        <f t="shared" si="13"/>
        <v>4</v>
      </c>
      <c r="D400" t="s">
        <v>57</v>
      </c>
      <c r="E400" t="s">
        <v>10</v>
      </c>
      <c r="F400" t="s">
        <v>22</v>
      </c>
      <c r="G400" t="s">
        <v>23</v>
      </c>
      <c r="H400" t="s">
        <v>60</v>
      </c>
      <c r="I400" s="3">
        <v>20363</v>
      </c>
      <c r="J400" s="4">
        <v>1</v>
      </c>
      <c r="K400" s="2">
        <v>2841.38</v>
      </c>
    </row>
    <row r="401" spans="1:11" x14ac:dyDescent="0.3">
      <c r="A401" s="1">
        <v>45392</v>
      </c>
      <c r="B401" s="4">
        <f t="shared" si="12"/>
        <v>2024</v>
      </c>
      <c r="C401" s="4">
        <f t="shared" si="13"/>
        <v>4</v>
      </c>
      <c r="D401" t="s">
        <v>28</v>
      </c>
      <c r="E401" t="s">
        <v>46</v>
      </c>
      <c r="F401" t="s">
        <v>11</v>
      </c>
      <c r="G401" t="s">
        <v>32</v>
      </c>
      <c r="H401" t="s">
        <v>33</v>
      </c>
      <c r="I401" s="3">
        <v>31686</v>
      </c>
      <c r="J401" s="4">
        <v>3</v>
      </c>
      <c r="K401" s="2">
        <v>4075.92</v>
      </c>
    </row>
    <row r="402" spans="1:11" x14ac:dyDescent="0.3">
      <c r="A402" s="1">
        <v>45394</v>
      </c>
      <c r="B402" s="4">
        <f t="shared" si="12"/>
        <v>2024</v>
      </c>
      <c r="C402" s="4">
        <f t="shared" si="13"/>
        <v>4</v>
      </c>
      <c r="D402" t="s">
        <v>34</v>
      </c>
      <c r="E402" t="s">
        <v>15</v>
      </c>
      <c r="F402" t="s">
        <v>22</v>
      </c>
      <c r="G402" t="s">
        <v>29</v>
      </c>
      <c r="H402" t="s">
        <v>58</v>
      </c>
      <c r="I402" s="3">
        <v>6905</v>
      </c>
      <c r="J402" s="4">
        <v>1</v>
      </c>
      <c r="K402" s="2">
        <v>875.05</v>
      </c>
    </row>
    <row r="403" spans="1:11" x14ac:dyDescent="0.3">
      <c r="A403" s="1">
        <v>45396</v>
      </c>
      <c r="B403" s="4">
        <f t="shared" si="12"/>
        <v>2024</v>
      </c>
      <c r="C403" s="4">
        <f t="shared" si="13"/>
        <v>4</v>
      </c>
      <c r="D403" t="s">
        <v>16</v>
      </c>
      <c r="E403" t="s">
        <v>39</v>
      </c>
      <c r="F403" t="s">
        <v>22</v>
      </c>
      <c r="G403" t="s">
        <v>55</v>
      </c>
      <c r="H403" t="s">
        <v>56</v>
      </c>
      <c r="I403" s="3">
        <v>19470</v>
      </c>
      <c r="J403" s="4">
        <v>8</v>
      </c>
      <c r="K403" s="2">
        <v>3459.47</v>
      </c>
    </row>
    <row r="404" spans="1:11" x14ac:dyDescent="0.3">
      <c r="A404" s="1">
        <v>45397</v>
      </c>
      <c r="B404" s="4">
        <f t="shared" si="12"/>
        <v>2024</v>
      </c>
      <c r="C404" s="4">
        <f t="shared" si="13"/>
        <v>4</v>
      </c>
      <c r="D404" t="s">
        <v>42</v>
      </c>
      <c r="E404" t="s">
        <v>15</v>
      </c>
      <c r="F404" t="s">
        <v>17</v>
      </c>
      <c r="G404" t="s">
        <v>26</v>
      </c>
      <c r="H404" t="s">
        <v>52</v>
      </c>
      <c r="I404" s="3">
        <v>14352</v>
      </c>
      <c r="J404" s="4">
        <v>4</v>
      </c>
      <c r="K404" s="2">
        <v>1424.92</v>
      </c>
    </row>
    <row r="405" spans="1:11" x14ac:dyDescent="0.3">
      <c r="A405" s="1">
        <v>45401</v>
      </c>
      <c r="B405" s="4">
        <f t="shared" si="12"/>
        <v>2024</v>
      </c>
      <c r="C405" s="4">
        <f t="shared" si="13"/>
        <v>4</v>
      </c>
      <c r="D405" t="s">
        <v>28</v>
      </c>
      <c r="E405" t="s">
        <v>10</v>
      </c>
      <c r="F405" t="s">
        <v>17</v>
      </c>
      <c r="G405" t="s">
        <v>49</v>
      </c>
      <c r="H405" t="s">
        <v>51</v>
      </c>
      <c r="I405" s="3">
        <v>45363</v>
      </c>
      <c r="J405" s="4">
        <v>6</v>
      </c>
      <c r="K405" s="2">
        <v>8127.11</v>
      </c>
    </row>
    <row r="406" spans="1:11" x14ac:dyDescent="0.3">
      <c r="A406" s="1">
        <v>45404</v>
      </c>
      <c r="B406" s="4">
        <f t="shared" si="12"/>
        <v>2024</v>
      </c>
      <c r="C406" s="4">
        <f t="shared" si="13"/>
        <v>4</v>
      </c>
      <c r="D406" t="s">
        <v>9</v>
      </c>
      <c r="E406" t="s">
        <v>31</v>
      </c>
      <c r="F406" t="s">
        <v>17</v>
      </c>
      <c r="G406" t="s">
        <v>35</v>
      </c>
      <c r="H406" t="s">
        <v>36</v>
      </c>
      <c r="I406" s="3">
        <v>50020</v>
      </c>
      <c r="J406" s="4">
        <v>9</v>
      </c>
      <c r="K406" s="2">
        <v>6978.72</v>
      </c>
    </row>
    <row r="407" spans="1:11" x14ac:dyDescent="0.3">
      <c r="A407" s="1">
        <v>45404</v>
      </c>
      <c r="B407" s="4">
        <f t="shared" si="12"/>
        <v>2024</v>
      </c>
      <c r="C407" s="4">
        <f t="shared" si="13"/>
        <v>4</v>
      </c>
      <c r="D407" t="s">
        <v>45</v>
      </c>
      <c r="E407" t="s">
        <v>15</v>
      </c>
      <c r="F407" t="s">
        <v>11</v>
      </c>
      <c r="G407" t="s">
        <v>37</v>
      </c>
      <c r="H407" t="s">
        <v>38</v>
      </c>
      <c r="I407" s="3">
        <v>15110</v>
      </c>
      <c r="J407" s="4">
        <v>9</v>
      </c>
      <c r="K407" s="2">
        <v>893.72</v>
      </c>
    </row>
    <row r="408" spans="1:11" x14ac:dyDescent="0.3">
      <c r="A408" s="1">
        <v>45408</v>
      </c>
      <c r="B408" s="4">
        <f t="shared" si="12"/>
        <v>2024</v>
      </c>
      <c r="C408" s="4">
        <f t="shared" si="13"/>
        <v>4</v>
      </c>
      <c r="D408" t="s">
        <v>57</v>
      </c>
      <c r="E408" t="s">
        <v>46</v>
      </c>
      <c r="F408" t="s">
        <v>11</v>
      </c>
      <c r="G408" t="s">
        <v>37</v>
      </c>
      <c r="H408" t="s">
        <v>38</v>
      </c>
      <c r="I408" s="3">
        <v>3881</v>
      </c>
      <c r="J408" s="4">
        <v>6</v>
      </c>
      <c r="K408" s="2">
        <v>489.4</v>
      </c>
    </row>
    <row r="409" spans="1:11" x14ac:dyDescent="0.3">
      <c r="A409" s="1">
        <v>45409</v>
      </c>
      <c r="B409" s="4">
        <f t="shared" si="12"/>
        <v>2024</v>
      </c>
      <c r="C409" s="4">
        <f t="shared" si="13"/>
        <v>4</v>
      </c>
      <c r="D409" t="s">
        <v>28</v>
      </c>
      <c r="E409" t="s">
        <v>10</v>
      </c>
      <c r="F409" t="s">
        <v>11</v>
      </c>
      <c r="G409" t="s">
        <v>12</v>
      </c>
      <c r="H409" t="s">
        <v>13</v>
      </c>
      <c r="I409" s="3">
        <v>38253</v>
      </c>
      <c r="J409" s="4">
        <v>3</v>
      </c>
      <c r="K409" s="2">
        <v>2894.99</v>
      </c>
    </row>
    <row r="410" spans="1:11" x14ac:dyDescent="0.3">
      <c r="A410" s="1">
        <v>45409</v>
      </c>
      <c r="B410" s="4">
        <f t="shared" si="12"/>
        <v>2024</v>
      </c>
      <c r="C410" s="4">
        <f t="shared" si="13"/>
        <v>4</v>
      </c>
      <c r="D410" t="s">
        <v>14</v>
      </c>
      <c r="E410" t="s">
        <v>39</v>
      </c>
      <c r="F410" t="s">
        <v>17</v>
      </c>
      <c r="G410" t="s">
        <v>18</v>
      </c>
      <c r="H410" t="s">
        <v>19</v>
      </c>
      <c r="I410" s="3">
        <v>35958</v>
      </c>
      <c r="J410" s="4">
        <v>3</v>
      </c>
      <c r="K410" s="2">
        <v>5474.85</v>
      </c>
    </row>
    <row r="411" spans="1:11" x14ac:dyDescent="0.3">
      <c r="A411" s="1">
        <v>45412</v>
      </c>
      <c r="B411" s="4">
        <f t="shared" si="12"/>
        <v>2024</v>
      </c>
      <c r="C411" s="4">
        <f t="shared" si="13"/>
        <v>4</v>
      </c>
      <c r="D411" t="s">
        <v>25</v>
      </c>
      <c r="E411" t="s">
        <v>39</v>
      </c>
      <c r="F411" t="s">
        <v>22</v>
      </c>
      <c r="G411" t="s">
        <v>23</v>
      </c>
      <c r="H411" t="s">
        <v>24</v>
      </c>
      <c r="I411" s="3">
        <v>15023</v>
      </c>
      <c r="J411" s="4">
        <v>9</v>
      </c>
      <c r="K411" s="2">
        <v>2283.46</v>
      </c>
    </row>
    <row r="412" spans="1:11" x14ac:dyDescent="0.3">
      <c r="A412" s="1">
        <v>45413</v>
      </c>
      <c r="B412" s="4">
        <f t="shared" si="12"/>
        <v>2024</v>
      </c>
      <c r="C412" s="4">
        <f t="shared" si="13"/>
        <v>5</v>
      </c>
      <c r="D412" t="s">
        <v>25</v>
      </c>
      <c r="E412" t="s">
        <v>31</v>
      </c>
      <c r="F412" t="s">
        <v>17</v>
      </c>
      <c r="G412" t="s">
        <v>26</v>
      </c>
      <c r="H412" t="s">
        <v>52</v>
      </c>
      <c r="I412" s="3">
        <v>2400</v>
      </c>
      <c r="J412" s="4">
        <v>8</v>
      </c>
      <c r="K412" s="2">
        <v>335.2</v>
      </c>
    </row>
    <row r="413" spans="1:11" x14ac:dyDescent="0.3">
      <c r="A413" s="1">
        <v>45415</v>
      </c>
      <c r="B413" s="4">
        <f t="shared" si="12"/>
        <v>2024</v>
      </c>
      <c r="C413" s="4">
        <f t="shared" si="13"/>
        <v>5</v>
      </c>
      <c r="D413" t="s">
        <v>45</v>
      </c>
      <c r="E413" t="s">
        <v>10</v>
      </c>
      <c r="F413" t="s">
        <v>11</v>
      </c>
      <c r="G413" t="s">
        <v>53</v>
      </c>
      <c r="H413" t="s">
        <v>54</v>
      </c>
      <c r="I413" s="3">
        <v>46654</v>
      </c>
      <c r="J413" s="4">
        <v>2</v>
      </c>
      <c r="K413" s="2">
        <v>4499.1899999999996</v>
      </c>
    </row>
    <row r="414" spans="1:11" x14ac:dyDescent="0.3">
      <c r="A414" s="1">
        <v>45417</v>
      </c>
      <c r="B414" s="4">
        <f t="shared" si="12"/>
        <v>2024</v>
      </c>
      <c r="C414" s="4">
        <f t="shared" si="13"/>
        <v>5</v>
      </c>
      <c r="D414" t="s">
        <v>14</v>
      </c>
      <c r="E414" t="s">
        <v>39</v>
      </c>
      <c r="F414" t="s">
        <v>17</v>
      </c>
      <c r="G414" t="s">
        <v>35</v>
      </c>
      <c r="H414" t="s">
        <v>36</v>
      </c>
      <c r="I414" s="3">
        <v>30874</v>
      </c>
      <c r="J414" s="4">
        <v>9</v>
      </c>
      <c r="K414" s="2">
        <v>2708.02</v>
      </c>
    </row>
    <row r="415" spans="1:11" x14ac:dyDescent="0.3">
      <c r="A415" s="1">
        <v>45419</v>
      </c>
      <c r="B415" s="4">
        <f t="shared" si="12"/>
        <v>2024</v>
      </c>
      <c r="C415" s="4">
        <f t="shared" si="13"/>
        <v>5</v>
      </c>
      <c r="D415" t="s">
        <v>25</v>
      </c>
      <c r="E415" t="s">
        <v>21</v>
      </c>
      <c r="F415" t="s">
        <v>17</v>
      </c>
      <c r="G415" t="s">
        <v>47</v>
      </c>
      <c r="H415" t="s">
        <v>48</v>
      </c>
      <c r="I415" s="3">
        <v>39393</v>
      </c>
      <c r="J415" s="4">
        <v>6</v>
      </c>
      <c r="K415" s="2">
        <v>7073.32</v>
      </c>
    </row>
    <row r="416" spans="1:11" x14ac:dyDescent="0.3">
      <c r="A416" s="1">
        <v>45419</v>
      </c>
      <c r="B416" s="4">
        <f t="shared" si="12"/>
        <v>2024</v>
      </c>
      <c r="C416" s="4">
        <f t="shared" si="13"/>
        <v>5</v>
      </c>
      <c r="D416" t="s">
        <v>9</v>
      </c>
      <c r="E416" t="s">
        <v>21</v>
      </c>
      <c r="F416" t="s">
        <v>22</v>
      </c>
      <c r="G416" t="s">
        <v>29</v>
      </c>
      <c r="H416" t="s">
        <v>58</v>
      </c>
      <c r="I416" s="3">
        <v>25669</v>
      </c>
      <c r="J416" s="4">
        <v>10</v>
      </c>
      <c r="K416" s="2">
        <v>2794.88</v>
      </c>
    </row>
    <row r="417" spans="1:11" x14ac:dyDescent="0.3">
      <c r="A417" s="1">
        <v>45420</v>
      </c>
      <c r="B417" s="4">
        <f t="shared" si="12"/>
        <v>2024</v>
      </c>
      <c r="C417" s="4">
        <f t="shared" si="13"/>
        <v>5</v>
      </c>
      <c r="D417" t="s">
        <v>28</v>
      </c>
      <c r="E417" t="s">
        <v>31</v>
      </c>
      <c r="F417" t="s">
        <v>11</v>
      </c>
      <c r="G417" t="s">
        <v>37</v>
      </c>
      <c r="H417" t="s">
        <v>38</v>
      </c>
      <c r="I417" s="3">
        <v>24888</v>
      </c>
      <c r="J417" s="4">
        <v>3</v>
      </c>
      <c r="K417" s="2">
        <v>1850.1</v>
      </c>
    </row>
    <row r="418" spans="1:11" x14ac:dyDescent="0.3">
      <c r="A418" s="1">
        <v>45420</v>
      </c>
      <c r="B418" s="4">
        <f t="shared" si="12"/>
        <v>2024</v>
      </c>
      <c r="C418" s="4">
        <f t="shared" si="13"/>
        <v>5</v>
      </c>
      <c r="D418" t="s">
        <v>25</v>
      </c>
      <c r="E418" t="s">
        <v>39</v>
      </c>
      <c r="F418" t="s">
        <v>17</v>
      </c>
      <c r="G418" t="s">
        <v>47</v>
      </c>
      <c r="H418" t="s">
        <v>48</v>
      </c>
      <c r="I418" s="3">
        <v>58024</v>
      </c>
      <c r="J418" s="4">
        <v>8</v>
      </c>
      <c r="K418" s="2">
        <v>5388.24</v>
      </c>
    </row>
    <row r="419" spans="1:11" x14ac:dyDescent="0.3">
      <c r="A419" s="1">
        <v>45430</v>
      </c>
      <c r="B419" s="4">
        <f t="shared" si="12"/>
        <v>2024</v>
      </c>
      <c r="C419" s="4">
        <f t="shared" si="13"/>
        <v>5</v>
      </c>
      <c r="D419" t="s">
        <v>25</v>
      </c>
      <c r="E419" t="s">
        <v>39</v>
      </c>
      <c r="F419" t="s">
        <v>22</v>
      </c>
      <c r="G419" t="s">
        <v>43</v>
      </c>
      <c r="H419" t="s">
        <v>59</v>
      </c>
      <c r="I419" s="3">
        <v>33565</v>
      </c>
      <c r="J419" s="4">
        <v>7</v>
      </c>
      <c r="K419" s="2">
        <v>4196.0200000000004</v>
      </c>
    </row>
    <row r="420" spans="1:11" x14ac:dyDescent="0.3">
      <c r="A420" s="1">
        <v>45435</v>
      </c>
      <c r="B420" s="4">
        <f t="shared" si="12"/>
        <v>2024</v>
      </c>
      <c r="C420" s="4">
        <f t="shared" si="13"/>
        <v>5</v>
      </c>
      <c r="D420" t="s">
        <v>16</v>
      </c>
      <c r="E420" t="s">
        <v>21</v>
      </c>
      <c r="F420" t="s">
        <v>22</v>
      </c>
      <c r="G420" t="s">
        <v>43</v>
      </c>
      <c r="H420" t="s">
        <v>59</v>
      </c>
      <c r="I420" s="3">
        <v>9270</v>
      </c>
      <c r="J420" s="4">
        <v>5</v>
      </c>
      <c r="K420" s="2">
        <v>536.05999999999995</v>
      </c>
    </row>
    <row r="421" spans="1:11" x14ac:dyDescent="0.3">
      <c r="A421" s="1">
        <v>45436</v>
      </c>
      <c r="B421" s="4">
        <f t="shared" si="12"/>
        <v>2024</v>
      </c>
      <c r="C421" s="4">
        <f t="shared" si="13"/>
        <v>5</v>
      </c>
      <c r="D421" t="s">
        <v>34</v>
      </c>
      <c r="E421" t="s">
        <v>46</v>
      </c>
      <c r="F421" t="s">
        <v>22</v>
      </c>
      <c r="G421" t="s">
        <v>29</v>
      </c>
      <c r="H421" t="s">
        <v>30</v>
      </c>
      <c r="I421" s="3">
        <v>10255</v>
      </c>
      <c r="J421" s="4">
        <v>8</v>
      </c>
      <c r="K421" s="2">
        <v>1972.28</v>
      </c>
    </row>
    <row r="422" spans="1:11" x14ac:dyDescent="0.3">
      <c r="A422" s="1">
        <v>45437</v>
      </c>
      <c r="B422" s="4">
        <f t="shared" si="12"/>
        <v>2024</v>
      </c>
      <c r="C422" s="4">
        <f t="shared" si="13"/>
        <v>5</v>
      </c>
      <c r="D422" t="s">
        <v>42</v>
      </c>
      <c r="E422" t="s">
        <v>21</v>
      </c>
      <c r="F422" t="s">
        <v>22</v>
      </c>
      <c r="G422" t="s">
        <v>55</v>
      </c>
      <c r="H422" t="s">
        <v>56</v>
      </c>
      <c r="I422" s="3">
        <v>39996</v>
      </c>
      <c r="J422" s="4">
        <v>2</v>
      </c>
      <c r="K422" s="2">
        <v>6666.08</v>
      </c>
    </row>
    <row r="423" spans="1:11" x14ac:dyDescent="0.3">
      <c r="A423" s="1">
        <v>45444</v>
      </c>
      <c r="B423" s="4">
        <f t="shared" si="12"/>
        <v>2024</v>
      </c>
      <c r="C423" s="4">
        <f t="shared" si="13"/>
        <v>6</v>
      </c>
      <c r="D423" t="s">
        <v>20</v>
      </c>
      <c r="E423" t="s">
        <v>31</v>
      </c>
      <c r="F423" t="s">
        <v>11</v>
      </c>
      <c r="G423" t="s">
        <v>37</v>
      </c>
      <c r="H423" t="s">
        <v>38</v>
      </c>
      <c r="I423" s="3">
        <v>41813</v>
      </c>
      <c r="J423" s="4">
        <v>3</v>
      </c>
      <c r="K423" s="2">
        <v>5440.75</v>
      </c>
    </row>
    <row r="424" spans="1:11" x14ac:dyDescent="0.3">
      <c r="A424" s="1">
        <v>45444</v>
      </c>
      <c r="B424" s="4">
        <f t="shared" si="12"/>
        <v>2024</v>
      </c>
      <c r="C424" s="4">
        <f t="shared" si="13"/>
        <v>6</v>
      </c>
      <c r="D424" t="s">
        <v>57</v>
      </c>
      <c r="E424" t="s">
        <v>10</v>
      </c>
      <c r="F424" t="s">
        <v>17</v>
      </c>
      <c r="G424" t="s">
        <v>35</v>
      </c>
      <c r="H424" t="s">
        <v>36</v>
      </c>
      <c r="I424" s="3">
        <v>43311</v>
      </c>
      <c r="J424" s="4">
        <v>5</v>
      </c>
      <c r="K424" s="2">
        <v>2353.65</v>
      </c>
    </row>
    <row r="425" spans="1:11" x14ac:dyDescent="0.3">
      <c r="A425" s="1">
        <v>45445</v>
      </c>
      <c r="B425" s="4">
        <f t="shared" si="12"/>
        <v>2024</v>
      </c>
      <c r="C425" s="4">
        <f t="shared" si="13"/>
        <v>6</v>
      </c>
      <c r="D425" t="s">
        <v>20</v>
      </c>
      <c r="E425" t="s">
        <v>10</v>
      </c>
      <c r="F425" t="s">
        <v>22</v>
      </c>
      <c r="G425" t="s">
        <v>29</v>
      </c>
      <c r="H425" t="s">
        <v>30</v>
      </c>
      <c r="I425" s="3">
        <v>48702</v>
      </c>
      <c r="J425" s="4">
        <v>2</v>
      </c>
      <c r="K425" s="2">
        <v>9357.5300000000007</v>
      </c>
    </row>
    <row r="426" spans="1:11" x14ac:dyDescent="0.3">
      <c r="A426" s="1">
        <v>45448</v>
      </c>
      <c r="B426" s="4">
        <f t="shared" si="12"/>
        <v>2024</v>
      </c>
      <c r="C426" s="4">
        <f t="shared" si="13"/>
        <v>6</v>
      </c>
      <c r="D426" t="s">
        <v>14</v>
      </c>
      <c r="E426" t="s">
        <v>21</v>
      </c>
      <c r="F426" t="s">
        <v>11</v>
      </c>
      <c r="G426" t="s">
        <v>32</v>
      </c>
      <c r="H426" t="s">
        <v>33</v>
      </c>
      <c r="I426" s="3">
        <v>56308</v>
      </c>
      <c r="J426" s="4">
        <v>7</v>
      </c>
      <c r="K426" s="2">
        <v>9800.32</v>
      </c>
    </row>
    <row r="427" spans="1:11" x14ac:dyDescent="0.3">
      <c r="A427" s="1">
        <v>45450</v>
      </c>
      <c r="B427" s="4">
        <f t="shared" si="12"/>
        <v>2024</v>
      </c>
      <c r="C427" s="4">
        <f t="shared" si="13"/>
        <v>6</v>
      </c>
      <c r="D427" t="s">
        <v>42</v>
      </c>
      <c r="E427" t="s">
        <v>39</v>
      </c>
      <c r="F427" t="s">
        <v>22</v>
      </c>
      <c r="G427" t="s">
        <v>40</v>
      </c>
      <c r="H427" t="s">
        <v>41</v>
      </c>
      <c r="I427" s="3">
        <v>18915</v>
      </c>
      <c r="J427" s="4">
        <v>8</v>
      </c>
      <c r="K427" s="2">
        <v>1513.71</v>
      </c>
    </row>
    <row r="428" spans="1:11" x14ac:dyDescent="0.3">
      <c r="A428" s="1">
        <v>45450</v>
      </c>
      <c r="B428" s="4">
        <f t="shared" si="12"/>
        <v>2024</v>
      </c>
      <c r="C428" s="4">
        <f t="shared" si="13"/>
        <v>6</v>
      </c>
      <c r="D428" t="s">
        <v>45</v>
      </c>
      <c r="E428" t="s">
        <v>10</v>
      </c>
      <c r="F428" t="s">
        <v>22</v>
      </c>
      <c r="G428" t="s">
        <v>40</v>
      </c>
      <c r="H428" t="s">
        <v>41</v>
      </c>
      <c r="I428" s="3">
        <v>58149</v>
      </c>
      <c r="J428" s="4">
        <v>2</v>
      </c>
      <c r="K428" s="2">
        <v>3480.93</v>
      </c>
    </row>
    <row r="429" spans="1:11" x14ac:dyDescent="0.3">
      <c r="A429" s="1">
        <v>45451</v>
      </c>
      <c r="B429" s="4">
        <f t="shared" si="12"/>
        <v>2024</v>
      </c>
      <c r="C429" s="4">
        <f t="shared" si="13"/>
        <v>6</v>
      </c>
      <c r="D429" t="s">
        <v>14</v>
      </c>
      <c r="E429" t="s">
        <v>46</v>
      </c>
      <c r="F429" t="s">
        <v>11</v>
      </c>
      <c r="G429" t="s">
        <v>37</v>
      </c>
      <c r="H429" t="s">
        <v>38</v>
      </c>
      <c r="I429" s="3">
        <v>53612</v>
      </c>
      <c r="J429" s="4">
        <v>9</v>
      </c>
      <c r="K429" s="2">
        <v>6112.36</v>
      </c>
    </row>
    <row r="430" spans="1:11" x14ac:dyDescent="0.3">
      <c r="A430" s="1">
        <v>45457</v>
      </c>
      <c r="B430" s="4">
        <f t="shared" si="12"/>
        <v>2024</v>
      </c>
      <c r="C430" s="4">
        <f t="shared" si="13"/>
        <v>6</v>
      </c>
      <c r="D430" t="s">
        <v>20</v>
      </c>
      <c r="E430" t="s">
        <v>31</v>
      </c>
      <c r="F430" t="s">
        <v>17</v>
      </c>
      <c r="G430" t="s">
        <v>35</v>
      </c>
      <c r="H430" t="s">
        <v>36</v>
      </c>
      <c r="I430" s="3">
        <v>544</v>
      </c>
      <c r="J430" s="4">
        <v>2</v>
      </c>
      <c r="K430" s="2">
        <v>28.75</v>
      </c>
    </row>
    <row r="431" spans="1:11" x14ac:dyDescent="0.3">
      <c r="A431" s="1">
        <v>45461</v>
      </c>
      <c r="B431" s="4">
        <f t="shared" si="12"/>
        <v>2024</v>
      </c>
      <c r="C431" s="4">
        <f t="shared" si="13"/>
        <v>6</v>
      </c>
      <c r="D431" t="s">
        <v>57</v>
      </c>
      <c r="E431" t="s">
        <v>31</v>
      </c>
      <c r="F431" t="s">
        <v>11</v>
      </c>
      <c r="G431" t="s">
        <v>53</v>
      </c>
      <c r="H431" t="s">
        <v>54</v>
      </c>
      <c r="I431" s="3">
        <v>4684</v>
      </c>
      <c r="J431" s="4">
        <v>4</v>
      </c>
      <c r="K431" s="2">
        <v>677.65</v>
      </c>
    </row>
    <row r="432" spans="1:11" x14ac:dyDescent="0.3">
      <c r="A432" s="1">
        <v>45462</v>
      </c>
      <c r="B432" s="4">
        <f t="shared" si="12"/>
        <v>2024</v>
      </c>
      <c r="C432" s="4">
        <f t="shared" si="13"/>
        <v>6</v>
      </c>
      <c r="D432" t="s">
        <v>14</v>
      </c>
      <c r="E432" t="s">
        <v>21</v>
      </c>
      <c r="F432" t="s">
        <v>11</v>
      </c>
      <c r="G432" t="s">
        <v>32</v>
      </c>
      <c r="H432" t="s">
        <v>33</v>
      </c>
      <c r="I432" s="3">
        <v>42076</v>
      </c>
      <c r="J432" s="4">
        <v>1</v>
      </c>
      <c r="K432" s="2">
        <v>5247.12</v>
      </c>
    </row>
    <row r="433" spans="1:11" x14ac:dyDescent="0.3">
      <c r="A433" s="1">
        <v>45481</v>
      </c>
      <c r="B433" s="4">
        <f t="shared" si="12"/>
        <v>2024</v>
      </c>
      <c r="C433" s="4">
        <f t="shared" si="13"/>
        <v>7</v>
      </c>
      <c r="D433" t="s">
        <v>16</v>
      </c>
      <c r="E433" t="s">
        <v>46</v>
      </c>
      <c r="F433" t="s">
        <v>11</v>
      </c>
      <c r="G433" t="s">
        <v>53</v>
      </c>
      <c r="H433" t="s">
        <v>54</v>
      </c>
      <c r="I433" s="3">
        <v>20918</v>
      </c>
      <c r="J433" s="4">
        <v>3</v>
      </c>
      <c r="K433" s="2">
        <v>2425.7399999999998</v>
      </c>
    </row>
    <row r="434" spans="1:11" x14ac:dyDescent="0.3">
      <c r="A434" s="1">
        <v>45482</v>
      </c>
      <c r="B434" s="4">
        <f t="shared" si="12"/>
        <v>2024</v>
      </c>
      <c r="C434" s="4">
        <f t="shared" si="13"/>
        <v>7</v>
      </c>
      <c r="D434" t="s">
        <v>9</v>
      </c>
      <c r="E434" t="s">
        <v>46</v>
      </c>
      <c r="F434" t="s">
        <v>17</v>
      </c>
      <c r="G434" t="s">
        <v>18</v>
      </c>
      <c r="H434" t="s">
        <v>19</v>
      </c>
      <c r="I434" s="3">
        <v>27346</v>
      </c>
      <c r="J434" s="4">
        <v>7</v>
      </c>
      <c r="K434" s="2">
        <v>3221.32</v>
      </c>
    </row>
    <row r="435" spans="1:11" x14ac:dyDescent="0.3">
      <c r="A435" s="1">
        <v>45488</v>
      </c>
      <c r="B435" s="4">
        <f t="shared" si="12"/>
        <v>2024</v>
      </c>
      <c r="C435" s="4">
        <f t="shared" si="13"/>
        <v>7</v>
      </c>
      <c r="D435" t="s">
        <v>45</v>
      </c>
      <c r="E435" t="s">
        <v>10</v>
      </c>
      <c r="F435" t="s">
        <v>22</v>
      </c>
      <c r="G435" t="s">
        <v>43</v>
      </c>
      <c r="H435" t="s">
        <v>59</v>
      </c>
      <c r="I435" s="3">
        <v>52770</v>
      </c>
      <c r="J435" s="4">
        <v>9</v>
      </c>
      <c r="K435" s="2">
        <v>8930.11</v>
      </c>
    </row>
    <row r="436" spans="1:11" x14ac:dyDescent="0.3">
      <c r="A436" s="1">
        <v>45494</v>
      </c>
      <c r="B436" s="4">
        <f t="shared" si="12"/>
        <v>2024</v>
      </c>
      <c r="C436" s="4">
        <f t="shared" si="13"/>
        <v>7</v>
      </c>
      <c r="D436" t="s">
        <v>42</v>
      </c>
      <c r="E436" t="s">
        <v>10</v>
      </c>
      <c r="F436" t="s">
        <v>11</v>
      </c>
      <c r="G436" t="s">
        <v>53</v>
      </c>
      <c r="H436" t="s">
        <v>54</v>
      </c>
      <c r="I436" s="3">
        <v>20046</v>
      </c>
      <c r="J436" s="4">
        <v>4</v>
      </c>
      <c r="K436" s="2">
        <v>1762.09</v>
      </c>
    </row>
    <row r="437" spans="1:11" x14ac:dyDescent="0.3">
      <c r="A437" s="1">
        <v>45497</v>
      </c>
      <c r="B437" s="4">
        <f t="shared" si="12"/>
        <v>2024</v>
      </c>
      <c r="C437" s="4">
        <f t="shared" si="13"/>
        <v>7</v>
      </c>
      <c r="D437" t="s">
        <v>57</v>
      </c>
      <c r="E437" t="s">
        <v>15</v>
      </c>
      <c r="F437" t="s">
        <v>17</v>
      </c>
      <c r="G437" t="s">
        <v>47</v>
      </c>
      <c r="H437" t="s">
        <v>48</v>
      </c>
      <c r="I437" s="3">
        <v>36299</v>
      </c>
      <c r="J437" s="4">
        <v>5</v>
      </c>
      <c r="K437" s="2">
        <v>2496.48</v>
      </c>
    </row>
    <row r="438" spans="1:11" x14ac:dyDescent="0.3">
      <c r="A438" s="1">
        <v>45503</v>
      </c>
      <c r="B438" s="4">
        <f t="shared" si="12"/>
        <v>2024</v>
      </c>
      <c r="C438" s="4">
        <f t="shared" si="13"/>
        <v>7</v>
      </c>
      <c r="D438" t="s">
        <v>34</v>
      </c>
      <c r="E438" t="s">
        <v>10</v>
      </c>
      <c r="F438" t="s">
        <v>17</v>
      </c>
      <c r="G438" t="s">
        <v>18</v>
      </c>
      <c r="H438" t="s">
        <v>19</v>
      </c>
      <c r="I438" s="3">
        <v>15459</v>
      </c>
      <c r="J438" s="4">
        <v>1</v>
      </c>
      <c r="K438" s="2">
        <v>1005.29</v>
      </c>
    </row>
    <row r="439" spans="1:11" x14ac:dyDescent="0.3">
      <c r="A439" s="1">
        <v>45504</v>
      </c>
      <c r="B439" s="4">
        <f t="shared" si="12"/>
        <v>2024</v>
      </c>
      <c r="C439" s="4">
        <f t="shared" si="13"/>
        <v>7</v>
      </c>
      <c r="D439" t="s">
        <v>16</v>
      </c>
      <c r="E439" t="s">
        <v>39</v>
      </c>
      <c r="F439" t="s">
        <v>11</v>
      </c>
      <c r="G439" t="s">
        <v>37</v>
      </c>
      <c r="H439" t="s">
        <v>38</v>
      </c>
      <c r="I439" s="3">
        <v>24544</v>
      </c>
      <c r="J439" s="4">
        <v>2</v>
      </c>
      <c r="K439" s="2">
        <v>3711.68</v>
      </c>
    </row>
    <row r="440" spans="1:11" x14ac:dyDescent="0.3">
      <c r="A440" s="1">
        <v>45507</v>
      </c>
      <c r="B440" s="4">
        <f t="shared" si="12"/>
        <v>2024</v>
      </c>
      <c r="C440" s="4">
        <f t="shared" si="13"/>
        <v>8</v>
      </c>
      <c r="D440" t="s">
        <v>34</v>
      </c>
      <c r="E440" t="s">
        <v>39</v>
      </c>
      <c r="F440" t="s">
        <v>22</v>
      </c>
      <c r="G440" t="s">
        <v>40</v>
      </c>
      <c r="H440" t="s">
        <v>41</v>
      </c>
      <c r="I440" s="3">
        <v>45299</v>
      </c>
      <c r="J440" s="4">
        <v>9</v>
      </c>
      <c r="K440" s="2">
        <v>3757.2</v>
      </c>
    </row>
    <row r="441" spans="1:11" x14ac:dyDescent="0.3">
      <c r="A441" s="1">
        <v>45508</v>
      </c>
      <c r="B441" s="4">
        <f t="shared" si="12"/>
        <v>2024</v>
      </c>
      <c r="C441" s="4">
        <f t="shared" si="13"/>
        <v>8</v>
      </c>
      <c r="D441" t="s">
        <v>28</v>
      </c>
      <c r="E441" t="s">
        <v>31</v>
      </c>
      <c r="F441" t="s">
        <v>22</v>
      </c>
      <c r="G441" t="s">
        <v>43</v>
      </c>
      <c r="H441" t="s">
        <v>59</v>
      </c>
      <c r="I441" s="3">
        <v>43277</v>
      </c>
      <c r="J441" s="4">
        <v>7</v>
      </c>
      <c r="K441" s="2">
        <v>4731.79</v>
      </c>
    </row>
    <row r="442" spans="1:11" x14ac:dyDescent="0.3">
      <c r="A442" s="1">
        <v>45508</v>
      </c>
      <c r="B442" s="4">
        <f t="shared" si="12"/>
        <v>2024</v>
      </c>
      <c r="C442" s="4">
        <f t="shared" si="13"/>
        <v>8</v>
      </c>
      <c r="D442" t="s">
        <v>57</v>
      </c>
      <c r="E442" t="s">
        <v>39</v>
      </c>
      <c r="F442" t="s">
        <v>22</v>
      </c>
      <c r="G442" t="s">
        <v>40</v>
      </c>
      <c r="H442" t="s">
        <v>41</v>
      </c>
      <c r="I442" s="3">
        <v>35364</v>
      </c>
      <c r="J442" s="4">
        <v>9</v>
      </c>
      <c r="K442" s="2">
        <v>5036.08</v>
      </c>
    </row>
    <row r="443" spans="1:11" x14ac:dyDescent="0.3">
      <c r="A443" s="1">
        <v>45509</v>
      </c>
      <c r="B443" s="4">
        <f t="shared" si="12"/>
        <v>2024</v>
      </c>
      <c r="C443" s="4">
        <f t="shared" si="13"/>
        <v>8</v>
      </c>
      <c r="D443" t="s">
        <v>42</v>
      </c>
      <c r="E443" t="s">
        <v>46</v>
      </c>
      <c r="F443" t="s">
        <v>11</v>
      </c>
      <c r="G443" t="s">
        <v>12</v>
      </c>
      <c r="H443" t="s">
        <v>13</v>
      </c>
      <c r="I443" s="3">
        <v>22493</v>
      </c>
      <c r="J443" s="4">
        <v>2</v>
      </c>
      <c r="K443" s="2">
        <v>2114.9</v>
      </c>
    </row>
    <row r="444" spans="1:11" x14ac:dyDescent="0.3">
      <c r="A444" s="1">
        <v>45513</v>
      </c>
      <c r="B444" s="4">
        <f t="shared" si="12"/>
        <v>2024</v>
      </c>
      <c r="C444" s="4">
        <f t="shared" si="13"/>
        <v>8</v>
      </c>
      <c r="D444" t="s">
        <v>42</v>
      </c>
      <c r="E444" t="s">
        <v>39</v>
      </c>
      <c r="F444" t="s">
        <v>11</v>
      </c>
      <c r="G444" t="s">
        <v>12</v>
      </c>
      <c r="H444" t="s">
        <v>13</v>
      </c>
      <c r="I444" s="3">
        <v>28289</v>
      </c>
      <c r="J444" s="4">
        <v>3</v>
      </c>
      <c r="K444" s="2">
        <v>5092.8</v>
      </c>
    </row>
    <row r="445" spans="1:11" x14ac:dyDescent="0.3">
      <c r="A445" s="1">
        <v>45513</v>
      </c>
      <c r="B445" s="4">
        <f t="shared" si="12"/>
        <v>2024</v>
      </c>
      <c r="C445" s="4">
        <f t="shared" si="13"/>
        <v>8</v>
      </c>
      <c r="D445" t="s">
        <v>16</v>
      </c>
      <c r="E445" t="s">
        <v>10</v>
      </c>
      <c r="F445" t="s">
        <v>17</v>
      </c>
      <c r="G445" t="s">
        <v>47</v>
      </c>
      <c r="H445" t="s">
        <v>48</v>
      </c>
      <c r="I445" s="3">
        <v>11674</v>
      </c>
      <c r="J445" s="4">
        <v>8</v>
      </c>
      <c r="K445" s="2">
        <v>2301.21</v>
      </c>
    </row>
    <row r="446" spans="1:11" x14ac:dyDescent="0.3">
      <c r="A446" s="1">
        <v>45514</v>
      </c>
      <c r="B446" s="4">
        <f t="shared" si="12"/>
        <v>2024</v>
      </c>
      <c r="C446" s="4">
        <f t="shared" si="13"/>
        <v>8</v>
      </c>
      <c r="D446" t="s">
        <v>45</v>
      </c>
      <c r="E446" t="s">
        <v>46</v>
      </c>
      <c r="F446" t="s">
        <v>11</v>
      </c>
      <c r="G446" t="s">
        <v>37</v>
      </c>
      <c r="H446" t="s">
        <v>38</v>
      </c>
      <c r="I446" s="3">
        <v>2241</v>
      </c>
      <c r="J446" s="4">
        <v>1</v>
      </c>
      <c r="K446" s="2">
        <v>447.72</v>
      </c>
    </row>
    <row r="447" spans="1:11" x14ac:dyDescent="0.3">
      <c r="A447" s="1">
        <v>45519</v>
      </c>
      <c r="B447" s="4">
        <f t="shared" si="12"/>
        <v>2024</v>
      </c>
      <c r="C447" s="4">
        <f t="shared" si="13"/>
        <v>8</v>
      </c>
      <c r="D447" t="s">
        <v>25</v>
      </c>
      <c r="E447" t="s">
        <v>39</v>
      </c>
      <c r="F447" t="s">
        <v>11</v>
      </c>
      <c r="G447" t="s">
        <v>32</v>
      </c>
      <c r="H447" t="s">
        <v>33</v>
      </c>
      <c r="I447" s="3">
        <v>46851</v>
      </c>
      <c r="J447" s="4">
        <v>8</v>
      </c>
      <c r="K447" s="2">
        <v>5492.16</v>
      </c>
    </row>
    <row r="448" spans="1:11" x14ac:dyDescent="0.3">
      <c r="A448" s="1">
        <v>45520</v>
      </c>
      <c r="B448" s="4">
        <f t="shared" si="12"/>
        <v>2024</v>
      </c>
      <c r="C448" s="4">
        <f t="shared" si="13"/>
        <v>8</v>
      </c>
      <c r="D448" t="s">
        <v>25</v>
      </c>
      <c r="E448" t="s">
        <v>21</v>
      </c>
      <c r="F448" t="s">
        <v>22</v>
      </c>
      <c r="G448" t="s">
        <v>43</v>
      </c>
      <c r="H448" t="s">
        <v>59</v>
      </c>
      <c r="I448" s="3">
        <v>44139</v>
      </c>
      <c r="J448" s="4">
        <v>7</v>
      </c>
      <c r="K448" s="2">
        <v>5573.58</v>
      </c>
    </row>
    <row r="449" spans="1:11" x14ac:dyDescent="0.3">
      <c r="A449" s="1">
        <v>45522</v>
      </c>
      <c r="B449" s="4">
        <f t="shared" si="12"/>
        <v>2024</v>
      </c>
      <c r="C449" s="4">
        <f t="shared" si="13"/>
        <v>8</v>
      </c>
      <c r="D449" t="s">
        <v>45</v>
      </c>
      <c r="E449" t="s">
        <v>21</v>
      </c>
      <c r="F449" t="s">
        <v>17</v>
      </c>
      <c r="G449" t="s">
        <v>47</v>
      </c>
      <c r="H449" t="s">
        <v>48</v>
      </c>
      <c r="I449" s="3">
        <v>40352</v>
      </c>
      <c r="J449" s="4">
        <v>1</v>
      </c>
      <c r="K449" s="2">
        <v>5426.66</v>
      </c>
    </row>
    <row r="450" spans="1:11" x14ac:dyDescent="0.3">
      <c r="A450" s="1">
        <v>45523</v>
      </c>
      <c r="B450" s="4">
        <f t="shared" ref="B450:B513" si="14">YEAR(A450)</f>
        <v>2024</v>
      </c>
      <c r="C450" s="4">
        <f t="shared" ref="C450:C501" si="15">MONTH(A450)</f>
        <v>8</v>
      </c>
      <c r="D450" t="s">
        <v>9</v>
      </c>
      <c r="E450" t="s">
        <v>39</v>
      </c>
      <c r="F450" t="s">
        <v>17</v>
      </c>
      <c r="G450" t="s">
        <v>18</v>
      </c>
      <c r="H450" t="s">
        <v>19</v>
      </c>
      <c r="I450" s="3">
        <v>9964</v>
      </c>
      <c r="J450" s="4">
        <v>5</v>
      </c>
      <c r="K450" s="2">
        <v>1733.68</v>
      </c>
    </row>
    <row r="451" spans="1:11" x14ac:dyDescent="0.3">
      <c r="A451" s="1">
        <v>45523</v>
      </c>
      <c r="B451" s="4">
        <f t="shared" si="14"/>
        <v>2024</v>
      </c>
      <c r="C451" s="4">
        <f t="shared" si="15"/>
        <v>8</v>
      </c>
      <c r="D451" t="s">
        <v>57</v>
      </c>
      <c r="E451" t="s">
        <v>10</v>
      </c>
      <c r="F451" t="s">
        <v>11</v>
      </c>
      <c r="G451" t="s">
        <v>37</v>
      </c>
      <c r="H451" t="s">
        <v>38</v>
      </c>
      <c r="I451" s="3">
        <v>4342</v>
      </c>
      <c r="J451" s="4">
        <v>8</v>
      </c>
      <c r="K451" s="2">
        <v>809.38</v>
      </c>
    </row>
    <row r="452" spans="1:11" x14ac:dyDescent="0.3">
      <c r="A452" s="1">
        <v>45524</v>
      </c>
      <c r="B452" s="4">
        <f t="shared" si="14"/>
        <v>2024</v>
      </c>
      <c r="C452" s="4">
        <f t="shared" si="15"/>
        <v>8</v>
      </c>
      <c r="D452" t="s">
        <v>34</v>
      </c>
      <c r="E452" t="s">
        <v>21</v>
      </c>
      <c r="F452" t="s">
        <v>22</v>
      </c>
      <c r="G452" t="s">
        <v>43</v>
      </c>
      <c r="H452" t="s">
        <v>44</v>
      </c>
      <c r="I452" s="3">
        <v>17060</v>
      </c>
      <c r="J452" s="4">
        <v>3</v>
      </c>
      <c r="K452" s="2">
        <v>889.04</v>
      </c>
    </row>
    <row r="453" spans="1:11" x14ac:dyDescent="0.3">
      <c r="A453" s="1">
        <v>45525</v>
      </c>
      <c r="B453" s="4">
        <f t="shared" si="14"/>
        <v>2024</v>
      </c>
      <c r="C453" s="4">
        <f t="shared" si="15"/>
        <v>8</v>
      </c>
      <c r="D453" t="s">
        <v>25</v>
      </c>
      <c r="E453" t="s">
        <v>31</v>
      </c>
      <c r="F453" t="s">
        <v>22</v>
      </c>
      <c r="G453" t="s">
        <v>40</v>
      </c>
      <c r="H453" t="s">
        <v>41</v>
      </c>
      <c r="I453" s="3">
        <v>58273</v>
      </c>
      <c r="J453" s="4">
        <v>3</v>
      </c>
      <c r="K453" s="2">
        <v>3901.87</v>
      </c>
    </row>
    <row r="454" spans="1:11" x14ac:dyDescent="0.3">
      <c r="A454" s="1">
        <v>45527</v>
      </c>
      <c r="B454" s="4">
        <f t="shared" si="14"/>
        <v>2024</v>
      </c>
      <c r="C454" s="4">
        <f t="shared" si="15"/>
        <v>8</v>
      </c>
      <c r="D454" t="s">
        <v>16</v>
      </c>
      <c r="E454" t="s">
        <v>15</v>
      </c>
      <c r="F454" t="s">
        <v>17</v>
      </c>
      <c r="G454" t="s">
        <v>18</v>
      </c>
      <c r="H454" t="s">
        <v>19</v>
      </c>
      <c r="I454" s="3">
        <v>46162</v>
      </c>
      <c r="J454" s="4">
        <v>9</v>
      </c>
      <c r="K454" s="2">
        <v>5212.9799999999996</v>
      </c>
    </row>
    <row r="455" spans="1:11" x14ac:dyDescent="0.3">
      <c r="A455" s="1">
        <v>45535</v>
      </c>
      <c r="B455" s="4">
        <f t="shared" si="14"/>
        <v>2024</v>
      </c>
      <c r="C455" s="4">
        <f t="shared" si="15"/>
        <v>8</v>
      </c>
      <c r="D455" t="s">
        <v>9</v>
      </c>
      <c r="E455" t="s">
        <v>46</v>
      </c>
      <c r="F455" t="s">
        <v>11</v>
      </c>
      <c r="G455" t="s">
        <v>12</v>
      </c>
      <c r="H455" t="s">
        <v>13</v>
      </c>
      <c r="I455" s="3">
        <v>23763</v>
      </c>
      <c r="J455" s="4">
        <v>4</v>
      </c>
      <c r="K455" s="2">
        <v>1409.59</v>
      </c>
    </row>
    <row r="456" spans="1:11" x14ac:dyDescent="0.3">
      <c r="A456" s="1">
        <v>45537</v>
      </c>
      <c r="B456" s="4">
        <f t="shared" si="14"/>
        <v>2024</v>
      </c>
      <c r="C456" s="4">
        <f t="shared" si="15"/>
        <v>9</v>
      </c>
      <c r="D456" t="s">
        <v>57</v>
      </c>
      <c r="E456" t="s">
        <v>21</v>
      </c>
      <c r="F456" t="s">
        <v>11</v>
      </c>
      <c r="G456" t="s">
        <v>32</v>
      </c>
      <c r="H456" t="s">
        <v>33</v>
      </c>
      <c r="I456" s="3">
        <v>10316</v>
      </c>
      <c r="J456" s="4">
        <v>2</v>
      </c>
      <c r="K456" s="2">
        <v>1242.29</v>
      </c>
    </row>
    <row r="457" spans="1:11" x14ac:dyDescent="0.3">
      <c r="A457" s="1">
        <v>45537</v>
      </c>
      <c r="B457" s="4">
        <f t="shared" si="14"/>
        <v>2024</v>
      </c>
      <c r="C457" s="4">
        <f t="shared" si="15"/>
        <v>9</v>
      </c>
      <c r="D457" t="s">
        <v>34</v>
      </c>
      <c r="E457" t="s">
        <v>39</v>
      </c>
      <c r="F457" t="s">
        <v>11</v>
      </c>
      <c r="G457" t="s">
        <v>37</v>
      </c>
      <c r="H457" t="s">
        <v>38</v>
      </c>
      <c r="I457" s="3">
        <v>44205</v>
      </c>
      <c r="J457" s="4">
        <v>8</v>
      </c>
      <c r="K457" s="2">
        <v>8511.82</v>
      </c>
    </row>
    <row r="458" spans="1:11" x14ac:dyDescent="0.3">
      <c r="A458" s="1">
        <v>45538</v>
      </c>
      <c r="B458" s="4">
        <f t="shared" si="14"/>
        <v>2024</v>
      </c>
      <c r="C458" s="4">
        <f t="shared" si="15"/>
        <v>9</v>
      </c>
      <c r="D458" t="s">
        <v>57</v>
      </c>
      <c r="E458" t="s">
        <v>39</v>
      </c>
      <c r="F458" t="s">
        <v>11</v>
      </c>
      <c r="G458" t="s">
        <v>32</v>
      </c>
      <c r="H458" t="s">
        <v>33</v>
      </c>
      <c r="I458" s="3">
        <v>6689</v>
      </c>
      <c r="J458" s="4">
        <v>8</v>
      </c>
      <c r="K458" s="2">
        <v>952.16</v>
      </c>
    </row>
    <row r="459" spans="1:11" x14ac:dyDescent="0.3">
      <c r="A459" s="1">
        <v>45539</v>
      </c>
      <c r="B459" s="4">
        <f t="shared" si="14"/>
        <v>2024</v>
      </c>
      <c r="C459" s="4">
        <f t="shared" si="15"/>
        <v>9</v>
      </c>
      <c r="D459" t="s">
        <v>16</v>
      </c>
      <c r="E459" t="s">
        <v>46</v>
      </c>
      <c r="F459" t="s">
        <v>17</v>
      </c>
      <c r="G459" t="s">
        <v>49</v>
      </c>
      <c r="H459" t="s">
        <v>51</v>
      </c>
      <c r="I459" s="3">
        <v>5138</v>
      </c>
      <c r="J459" s="4">
        <v>3</v>
      </c>
      <c r="K459" s="2">
        <v>990.06</v>
      </c>
    </row>
    <row r="460" spans="1:11" x14ac:dyDescent="0.3">
      <c r="A460" s="1">
        <v>45540</v>
      </c>
      <c r="B460" s="4">
        <f t="shared" si="14"/>
        <v>2024</v>
      </c>
      <c r="C460" s="4">
        <f t="shared" si="15"/>
        <v>9</v>
      </c>
      <c r="D460" t="s">
        <v>14</v>
      </c>
      <c r="E460" t="s">
        <v>31</v>
      </c>
      <c r="F460" t="s">
        <v>22</v>
      </c>
      <c r="G460" t="s">
        <v>55</v>
      </c>
      <c r="H460" t="s">
        <v>56</v>
      </c>
      <c r="I460" s="3">
        <v>46802</v>
      </c>
      <c r="J460" s="4">
        <v>5</v>
      </c>
      <c r="K460" s="2">
        <v>3662.44</v>
      </c>
    </row>
    <row r="461" spans="1:11" x14ac:dyDescent="0.3">
      <c r="A461" s="1">
        <v>45546</v>
      </c>
      <c r="B461" s="4">
        <f t="shared" si="14"/>
        <v>2024</v>
      </c>
      <c r="C461" s="4">
        <f t="shared" si="15"/>
        <v>9</v>
      </c>
      <c r="D461" t="s">
        <v>57</v>
      </c>
      <c r="E461" t="s">
        <v>15</v>
      </c>
      <c r="F461" t="s">
        <v>22</v>
      </c>
      <c r="G461" t="s">
        <v>23</v>
      </c>
      <c r="H461" t="s">
        <v>24</v>
      </c>
      <c r="I461" s="3">
        <v>14732</v>
      </c>
      <c r="J461" s="4">
        <v>1</v>
      </c>
      <c r="K461" s="2">
        <v>1490.93</v>
      </c>
    </row>
    <row r="462" spans="1:11" x14ac:dyDescent="0.3">
      <c r="A462" s="1">
        <v>45547</v>
      </c>
      <c r="B462" s="4">
        <f t="shared" si="14"/>
        <v>2024</v>
      </c>
      <c r="C462" s="4">
        <f t="shared" si="15"/>
        <v>9</v>
      </c>
      <c r="D462" t="s">
        <v>14</v>
      </c>
      <c r="E462" t="s">
        <v>46</v>
      </c>
      <c r="F462" t="s">
        <v>17</v>
      </c>
      <c r="G462" t="s">
        <v>18</v>
      </c>
      <c r="H462" t="s">
        <v>19</v>
      </c>
      <c r="I462" s="3">
        <v>32172</v>
      </c>
      <c r="J462" s="4">
        <v>1</v>
      </c>
      <c r="K462" s="2">
        <v>1640.51</v>
      </c>
    </row>
    <row r="463" spans="1:11" x14ac:dyDescent="0.3">
      <c r="A463" s="1">
        <v>45549</v>
      </c>
      <c r="B463" s="4">
        <f t="shared" si="14"/>
        <v>2024</v>
      </c>
      <c r="C463" s="4">
        <f t="shared" si="15"/>
        <v>9</v>
      </c>
      <c r="D463" t="s">
        <v>16</v>
      </c>
      <c r="E463" t="s">
        <v>21</v>
      </c>
      <c r="F463" t="s">
        <v>17</v>
      </c>
      <c r="G463" t="s">
        <v>18</v>
      </c>
      <c r="H463" t="s">
        <v>19</v>
      </c>
      <c r="I463" s="3">
        <v>21144</v>
      </c>
      <c r="J463" s="4">
        <v>3</v>
      </c>
      <c r="K463" s="2">
        <v>3344.82</v>
      </c>
    </row>
    <row r="464" spans="1:11" x14ac:dyDescent="0.3">
      <c r="A464" s="1">
        <v>45552</v>
      </c>
      <c r="B464" s="4">
        <f t="shared" si="14"/>
        <v>2024</v>
      </c>
      <c r="C464" s="4">
        <f t="shared" si="15"/>
        <v>9</v>
      </c>
      <c r="D464" t="s">
        <v>9</v>
      </c>
      <c r="E464" t="s">
        <v>46</v>
      </c>
      <c r="F464" t="s">
        <v>11</v>
      </c>
      <c r="G464" t="s">
        <v>12</v>
      </c>
      <c r="H464" t="s">
        <v>13</v>
      </c>
      <c r="I464" s="3">
        <v>7285</v>
      </c>
      <c r="J464" s="4">
        <v>1</v>
      </c>
      <c r="K464" s="2">
        <v>416.96</v>
      </c>
    </row>
    <row r="465" spans="1:11" x14ac:dyDescent="0.3">
      <c r="A465" s="1">
        <v>45553</v>
      </c>
      <c r="B465" s="4">
        <f t="shared" si="14"/>
        <v>2024</v>
      </c>
      <c r="C465" s="4">
        <f t="shared" si="15"/>
        <v>9</v>
      </c>
      <c r="D465" t="s">
        <v>34</v>
      </c>
      <c r="E465" t="s">
        <v>46</v>
      </c>
      <c r="F465" t="s">
        <v>11</v>
      </c>
      <c r="G465" t="s">
        <v>12</v>
      </c>
      <c r="H465" t="s">
        <v>13</v>
      </c>
      <c r="I465" s="3">
        <v>8766</v>
      </c>
      <c r="J465" s="4">
        <v>4</v>
      </c>
      <c r="K465" s="2">
        <v>821.82</v>
      </c>
    </row>
    <row r="466" spans="1:11" x14ac:dyDescent="0.3">
      <c r="A466" s="1">
        <v>45555</v>
      </c>
      <c r="B466" s="4">
        <f t="shared" si="14"/>
        <v>2024</v>
      </c>
      <c r="C466" s="4">
        <f t="shared" si="15"/>
        <v>9</v>
      </c>
      <c r="D466" t="s">
        <v>9</v>
      </c>
      <c r="E466" t="s">
        <v>10</v>
      </c>
      <c r="F466" t="s">
        <v>11</v>
      </c>
      <c r="G466" t="s">
        <v>12</v>
      </c>
      <c r="H466" t="s">
        <v>13</v>
      </c>
      <c r="I466" s="3">
        <v>6988</v>
      </c>
      <c r="J466" s="4">
        <v>3</v>
      </c>
      <c r="K466" s="2">
        <v>626.61</v>
      </c>
    </row>
    <row r="467" spans="1:11" x14ac:dyDescent="0.3">
      <c r="A467" s="1">
        <v>45558</v>
      </c>
      <c r="B467" s="4">
        <f t="shared" si="14"/>
        <v>2024</v>
      </c>
      <c r="C467" s="4">
        <f t="shared" si="15"/>
        <v>9</v>
      </c>
      <c r="D467" t="s">
        <v>57</v>
      </c>
      <c r="E467" t="s">
        <v>46</v>
      </c>
      <c r="F467" t="s">
        <v>17</v>
      </c>
      <c r="G467" t="s">
        <v>49</v>
      </c>
      <c r="H467" t="s">
        <v>50</v>
      </c>
      <c r="I467" s="3">
        <v>25047</v>
      </c>
      <c r="J467" s="4">
        <v>3</v>
      </c>
      <c r="K467" s="2">
        <v>3564.87</v>
      </c>
    </row>
    <row r="468" spans="1:11" x14ac:dyDescent="0.3">
      <c r="A468" s="1">
        <v>45560</v>
      </c>
      <c r="B468" s="4">
        <f t="shared" si="14"/>
        <v>2024</v>
      </c>
      <c r="C468" s="4">
        <f t="shared" si="15"/>
        <v>9</v>
      </c>
      <c r="D468" t="s">
        <v>57</v>
      </c>
      <c r="E468" t="s">
        <v>31</v>
      </c>
      <c r="F468" t="s">
        <v>11</v>
      </c>
      <c r="G468" t="s">
        <v>37</v>
      </c>
      <c r="H468" t="s">
        <v>38</v>
      </c>
      <c r="I468" s="3">
        <v>38797</v>
      </c>
      <c r="J468" s="4">
        <v>3</v>
      </c>
      <c r="K468" s="2">
        <v>4141.88</v>
      </c>
    </row>
    <row r="469" spans="1:11" x14ac:dyDescent="0.3">
      <c r="A469" s="1">
        <v>45561</v>
      </c>
      <c r="B469" s="4">
        <f t="shared" si="14"/>
        <v>2024</v>
      </c>
      <c r="C469" s="4">
        <f t="shared" si="15"/>
        <v>9</v>
      </c>
      <c r="D469" t="s">
        <v>42</v>
      </c>
      <c r="E469" t="s">
        <v>10</v>
      </c>
      <c r="F469" t="s">
        <v>11</v>
      </c>
      <c r="G469" t="s">
        <v>12</v>
      </c>
      <c r="H469" t="s">
        <v>13</v>
      </c>
      <c r="I469" s="3">
        <v>48807</v>
      </c>
      <c r="J469" s="4">
        <v>3</v>
      </c>
      <c r="K469" s="2">
        <v>3314.8</v>
      </c>
    </row>
    <row r="470" spans="1:11" x14ac:dyDescent="0.3">
      <c r="A470" s="1">
        <v>45562</v>
      </c>
      <c r="B470" s="4">
        <f t="shared" si="14"/>
        <v>2024</v>
      </c>
      <c r="C470" s="4">
        <f t="shared" si="15"/>
        <v>9</v>
      </c>
      <c r="D470" t="s">
        <v>57</v>
      </c>
      <c r="E470" t="s">
        <v>15</v>
      </c>
      <c r="F470" t="s">
        <v>22</v>
      </c>
      <c r="G470" t="s">
        <v>29</v>
      </c>
      <c r="H470" t="s">
        <v>58</v>
      </c>
      <c r="I470" s="3">
        <v>26964</v>
      </c>
      <c r="J470" s="4">
        <v>6</v>
      </c>
      <c r="K470" s="2">
        <v>2975.75</v>
      </c>
    </row>
    <row r="471" spans="1:11" x14ac:dyDescent="0.3">
      <c r="A471" s="1">
        <v>45568</v>
      </c>
      <c r="B471" s="4">
        <f t="shared" si="14"/>
        <v>2024</v>
      </c>
      <c r="C471" s="4">
        <f t="shared" si="15"/>
        <v>10</v>
      </c>
      <c r="D471" t="s">
        <v>9</v>
      </c>
      <c r="E471" t="s">
        <v>46</v>
      </c>
      <c r="F471" t="s">
        <v>11</v>
      </c>
      <c r="G471" t="s">
        <v>37</v>
      </c>
      <c r="H471" t="s">
        <v>38</v>
      </c>
      <c r="I471" s="3">
        <v>56827</v>
      </c>
      <c r="J471" s="4">
        <v>4</v>
      </c>
      <c r="K471" s="2">
        <v>5115.62</v>
      </c>
    </row>
    <row r="472" spans="1:11" x14ac:dyDescent="0.3">
      <c r="A472" s="1">
        <v>45568</v>
      </c>
      <c r="B472" s="4">
        <f t="shared" si="14"/>
        <v>2024</v>
      </c>
      <c r="C472" s="4">
        <f t="shared" si="15"/>
        <v>10</v>
      </c>
      <c r="D472" t="s">
        <v>16</v>
      </c>
      <c r="E472" t="s">
        <v>10</v>
      </c>
      <c r="F472" t="s">
        <v>17</v>
      </c>
      <c r="G472" t="s">
        <v>49</v>
      </c>
      <c r="H472" t="s">
        <v>50</v>
      </c>
      <c r="I472" s="3">
        <v>7696</v>
      </c>
      <c r="J472" s="4">
        <v>10</v>
      </c>
      <c r="K472" s="2">
        <v>1478.89</v>
      </c>
    </row>
    <row r="473" spans="1:11" x14ac:dyDescent="0.3">
      <c r="A473" s="1">
        <v>45569</v>
      </c>
      <c r="B473" s="4">
        <f t="shared" si="14"/>
        <v>2024</v>
      </c>
      <c r="C473" s="4">
        <f t="shared" si="15"/>
        <v>10</v>
      </c>
      <c r="D473" t="s">
        <v>45</v>
      </c>
      <c r="E473" t="s">
        <v>10</v>
      </c>
      <c r="F473" t="s">
        <v>11</v>
      </c>
      <c r="G473" t="s">
        <v>12</v>
      </c>
      <c r="H473" t="s">
        <v>13</v>
      </c>
      <c r="I473" s="3">
        <v>8210</v>
      </c>
      <c r="J473" s="4">
        <v>7</v>
      </c>
      <c r="K473" s="2">
        <v>845.96</v>
      </c>
    </row>
    <row r="474" spans="1:11" x14ac:dyDescent="0.3">
      <c r="A474" s="1">
        <v>45571</v>
      </c>
      <c r="B474" s="4">
        <f t="shared" si="14"/>
        <v>2024</v>
      </c>
      <c r="C474" s="4">
        <f t="shared" si="15"/>
        <v>10</v>
      </c>
      <c r="D474" t="s">
        <v>42</v>
      </c>
      <c r="E474" t="s">
        <v>39</v>
      </c>
      <c r="F474" t="s">
        <v>11</v>
      </c>
      <c r="G474" t="s">
        <v>12</v>
      </c>
      <c r="H474" t="s">
        <v>13</v>
      </c>
      <c r="I474" s="3">
        <v>41980</v>
      </c>
      <c r="J474" s="4">
        <v>7</v>
      </c>
      <c r="K474" s="2">
        <v>4386.7700000000004</v>
      </c>
    </row>
    <row r="475" spans="1:11" x14ac:dyDescent="0.3">
      <c r="A475" s="1">
        <v>45572</v>
      </c>
      <c r="B475" s="4">
        <f t="shared" si="14"/>
        <v>2024</v>
      </c>
      <c r="C475" s="4">
        <f t="shared" si="15"/>
        <v>10</v>
      </c>
      <c r="D475" t="s">
        <v>42</v>
      </c>
      <c r="E475" t="s">
        <v>10</v>
      </c>
      <c r="F475" t="s">
        <v>22</v>
      </c>
      <c r="G475" t="s">
        <v>43</v>
      </c>
      <c r="H475" t="s">
        <v>44</v>
      </c>
      <c r="I475" s="3">
        <v>23694</v>
      </c>
      <c r="J475" s="4">
        <v>9</v>
      </c>
      <c r="K475" s="2">
        <v>2251.62</v>
      </c>
    </row>
    <row r="476" spans="1:11" x14ac:dyDescent="0.3">
      <c r="A476" s="1">
        <v>45572</v>
      </c>
      <c r="B476" s="4">
        <f t="shared" si="14"/>
        <v>2024</v>
      </c>
      <c r="C476" s="4">
        <f t="shared" si="15"/>
        <v>10</v>
      </c>
      <c r="D476" t="s">
        <v>16</v>
      </c>
      <c r="E476" t="s">
        <v>31</v>
      </c>
      <c r="F476" t="s">
        <v>17</v>
      </c>
      <c r="G476" t="s">
        <v>26</v>
      </c>
      <c r="H476" t="s">
        <v>52</v>
      </c>
      <c r="I476" s="3">
        <v>6032</v>
      </c>
      <c r="J476" s="4">
        <v>2</v>
      </c>
      <c r="K476" s="2">
        <v>1057.32</v>
      </c>
    </row>
    <row r="477" spans="1:11" x14ac:dyDescent="0.3">
      <c r="A477" s="1">
        <v>45576</v>
      </c>
      <c r="B477" s="4">
        <f t="shared" si="14"/>
        <v>2024</v>
      </c>
      <c r="C477" s="4">
        <f t="shared" si="15"/>
        <v>10</v>
      </c>
      <c r="D477" t="s">
        <v>28</v>
      </c>
      <c r="E477" t="s">
        <v>39</v>
      </c>
      <c r="F477" t="s">
        <v>22</v>
      </c>
      <c r="G477" t="s">
        <v>40</v>
      </c>
      <c r="H477" t="s">
        <v>41</v>
      </c>
      <c r="I477" s="3">
        <v>46467</v>
      </c>
      <c r="J477" s="4">
        <v>5</v>
      </c>
      <c r="K477" s="2">
        <v>8726.61</v>
      </c>
    </row>
    <row r="478" spans="1:11" x14ac:dyDescent="0.3">
      <c r="A478" s="1">
        <v>45582</v>
      </c>
      <c r="B478" s="4">
        <f t="shared" si="14"/>
        <v>2024</v>
      </c>
      <c r="C478" s="4">
        <f t="shared" si="15"/>
        <v>10</v>
      </c>
      <c r="D478" t="s">
        <v>34</v>
      </c>
      <c r="E478" t="s">
        <v>21</v>
      </c>
      <c r="F478" t="s">
        <v>11</v>
      </c>
      <c r="G478" t="s">
        <v>32</v>
      </c>
      <c r="H478" t="s">
        <v>33</v>
      </c>
      <c r="I478" s="3">
        <v>470</v>
      </c>
      <c r="J478" s="4">
        <v>4</v>
      </c>
      <c r="K478" s="2">
        <v>39.450000000000003</v>
      </c>
    </row>
    <row r="479" spans="1:11" x14ac:dyDescent="0.3">
      <c r="A479" s="1">
        <v>45583</v>
      </c>
      <c r="B479" s="4">
        <f t="shared" si="14"/>
        <v>2024</v>
      </c>
      <c r="C479" s="4">
        <f t="shared" si="15"/>
        <v>10</v>
      </c>
      <c r="D479" t="s">
        <v>42</v>
      </c>
      <c r="E479" t="s">
        <v>39</v>
      </c>
      <c r="F479" t="s">
        <v>22</v>
      </c>
      <c r="G479" t="s">
        <v>29</v>
      </c>
      <c r="H479" t="s">
        <v>30</v>
      </c>
      <c r="I479" s="3">
        <v>19784</v>
      </c>
      <c r="J479" s="4">
        <v>5</v>
      </c>
      <c r="K479" s="2">
        <v>3422.9</v>
      </c>
    </row>
    <row r="480" spans="1:11" x14ac:dyDescent="0.3">
      <c r="A480" s="1">
        <v>45589</v>
      </c>
      <c r="B480" s="4">
        <f t="shared" si="14"/>
        <v>2024</v>
      </c>
      <c r="C480" s="4">
        <f t="shared" si="15"/>
        <v>10</v>
      </c>
      <c r="D480" t="s">
        <v>14</v>
      </c>
      <c r="E480" t="s">
        <v>10</v>
      </c>
      <c r="F480" t="s">
        <v>17</v>
      </c>
      <c r="G480" t="s">
        <v>35</v>
      </c>
      <c r="H480" t="s">
        <v>36</v>
      </c>
      <c r="I480" s="3">
        <v>34105</v>
      </c>
      <c r="J480" s="4">
        <v>6</v>
      </c>
      <c r="K480" s="2">
        <v>2361.7800000000002</v>
      </c>
    </row>
    <row r="481" spans="1:11" x14ac:dyDescent="0.3">
      <c r="A481" s="1">
        <v>45598</v>
      </c>
      <c r="B481" s="4">
        <f t="shared" si="14"/>
        <v>2024</v>
      </c>
      <c r="C481" s="4">
        <f t="shared" si="15"/>
        <v>11</v>
      </c>
      <c r="D481" t="s">
        <v>57</v>
      </c>
      <c r="E481" t="s">
        <v>10</v>
      </c>
      <c r="F481" t="s">
        <v>11</v>
      </c>
      <c r="G481" t="s">
        <v>37</v>
      </c>
      <c r="H481" t="s">
        <v>38</v>
      </c>
      <c r="I481" s="3">
        <v>7284</v>
      </c>
      <c r="J481" s="4">
        <v>8</v>
      </c>
      <c r="K481" s="2">
        <v>433.95</v>
      </c>
    </row>
    <row r="482" spans="1:11" x14ac:dyDescent="0.3">
      <c r="A482" s="1">
        <v>45599</v>
      </c>
      <c r="B482" s="4">
        <f t="shared" si="14"/>
        <v>2024</v>
      </c>
      <c r="C482" s="4">
        <f t="shared" si="15"/>
        <v>11</v>
      </c>
      <c r="D482" t="s">
        <v>16</v>
      </c>
      <c r="E482" t="s">
        <v>46</v>
      </c>
      <c r="F482" t="s">
        <v>11</v>
      </c>
      <c r="G482" t="s">
        <v>53</v>
      </c>
      <c r="H482" t="s">
        <v>54</v>
      </c>
      <c r="I482" s="3">
        <v>32425</v>
      </c>
      <c r="J482" s="4">
        <v>7</v>
      </c>
      <c r="K482" s="2">
        <v>5075.2</v>
      </c>
    </row>
    <row r="483" spans="1:11" x14ac:dyDescent="0.3">
      <c r="A483" s="1">
        <v>45602</v>
      </c>
      <c r="B483" s="4">
        <f t="shared" si="14"/>
        <v>2024</v>
      </c>
      <c r="C483" s="4">
        <f t="shared" si="15"/>
        <v>11</v>
      </c>
      <c r="D483" t="s">
        <v>57</v>
      </c>
      <c r="E483" t="s">
        <v>21</v>
      </c>
      <c r="F483" t="s">
        <v>22</v>
      </c>
      <c r="G483" t="s">
        <v>43</v>
      </c>
      <c r="H483" t="s">
        <v>44</v>
      </c>
      <c r="I483" s="3">
        <v>33133</v>
      </c>
      <c r="J483" s="4">
        <v>5</v>
      </c>
      <c r="K483" s="2">
        <v>5087.3599999999997</v>
      </c>
    </row>
    <row r="484" spans="1:11" x14ac:dyDescent="0.3">
      <c r="A484" s="1">
        <v>45610</v>
      </c>
      <c r="B484" s="4">
        <f t="shared" si="14"/>
        <v>2024</v>
      </c>
      <c r="C484" s="4">
        <f t="shared" si="15"/>
        <v>11</v>
      </c>
      <c r="D484" t="s">
        <v>20</v>
      </c>
      <c r="E484" t="s">
        <v>46</v>
      </c>
      <c r="F484" t="s">
        <v>11</v>
      </c>
      <c r="G484" t="s">
        <v>37</v>
      </c>
      <c r="H484" t="s">
        <v>38</v>
      </c>
      <c r="I484" s="3">
        <v>16590</v>
      </c>
      <c r="J484" s="4">
        <v>8</v>
      </c>
      <c r="K484" s="2">
        <v>2933.04</v>
      </c>
    </row>
    <row r="485" spans="1:11" x14ac:dyDescent="0.3">
      <c r="A485" s="1">
        <v>45611</v>
      </c>
      <c r="B485" s="4">
        <f t="shared" si="14"/>
        <v>2024</v>
      </c>
      <c r="C485" s="4">
        <f t="shared" si="15"/>
        <v>11</v>
      </c>
      <c r="D485" t="s">
        <v>28</v>
      </c>
      <c r="E485" t="s">
        <v>46</v>
      </c>
      <c r="F485" t="s">
        <v>22</v>
      </c>
      <c r="G485" t="s">
        <v>43</v>
      </c>
      <c r="H485" t="s">
        <v>44</v>
      </c>
      <c r="I485" s="3">
        <v>13562</v>
      </c>
      <c r="J485" s="4">
        <v>7</v>
      </c>
      <c r="K485" s="2">
        <v>1698.95</v>
      </c>
    </row>
    <row r="486" spans="1:11" x14ac:dyDescent="0.3">
      <c r="A486" s="1">
        <v>45613</v>
      </c>
      <c r="B486" s="4">
        <f t="shared" si="14"/>
        <v>2024</v>
      </c>
      <c r="C486" s="4">
        <f t="shared" si="15"/>
        <v>11</v>
      </c>
      <c r="D486" t="s">
        <v>34</v>
      </c>
      <c r="E486" t="s">
        <v>46</v>
      </c>
      <c r="F486" t="s">
        <v>22</v>
      </c>
      <c r="G486" t="s">
        <v>43</v>
      </c>
      <c r="H486" t="s">
        <v>44</v>
      </c>
      <c r="I486" s="3">
        <v>16145</v>
      </c>
      <c r="J486" s="4">
        <v>5</v>
      </c>
      <c r="K486" s="2">
        <v>2415.1999999999998</v>
      </c>
    </row>
    <row r="487" spans="1:11" x14ac:dyDescent="0.3">
      <c r="A487" s="1">
        <v>45623</v>
      </c>
      <c r="B487" s="4">
        <f t="shared" si="14"/>
        <v>2024</v>
      </c>
      <c r="C487" s="4">
        <f t="shared" si="15"/>
        <v>11</v>
      </c>
      <c r="D487" t="s">
        <v>42</v>
      </c>
      <c r="E487" t="s">
        <v>10</v>
      </c>
      <c r="F487" t="s">
        <v>22</v>
      </c>
      <c r="G487" t="s">
        <v>29</v>
      </c>
      <c r="H487" t="s">
        <v>30</v>
      </c>
      <c r="I487" s="3">
        <v>25364</v>
      </c>
      <c r="J487" s="4">
        <v>8</v>
      </c>
      <c r="K487" s="2">
        <v>2788.72</v>
      </c>
    </row>
    <row r="488" spans="1:11" x14ac:dyDescent="0.3">
      <c r="A488" s="1">
        <v>45624</v>
      </c>
      <c r="B488" s="4">
        <f t="shared" si="14"/>
        <v>2024</v>
      </c>
      <c r="C488" s="4">
        <f t="shared" si="15"/>
        <v>11</v>
      </c>
      <c r="D488" t="s">
        <v>28</v>
      </c>
      <c r="E488" t="s">
        <v>39</v>
      </c>
      <c r="F488" t="s">
        <v>11</v>
      </c>
      <c r="G488" t="s">
        <v>32</v>
      </c>
      <c r="H488" t="s">
        <v>33</v>
      </c>
      <c r="I488" s="3">
        <v>50825</v>
      </c>
      <c r="J488" s="4">
        <v>5</v>
      </c>
      <c r="K488" s="2">
        <v>9023.67</v>
      </c>
    </row>
    <row r="489" spans="1:11" x14ac:dyDescent="0.3">
      <c r="A489" s="1">
        <v>45625</v>
      </c>
      <c r="B489" s="4">
        <f t="shared" si="14"/>
        <v>2024</v>
      </c>
      <c r="C489" s="4">
        <f t="shared" si="15"/>
        <v>11</v>
      </c>
      <c r="D489" t="s">
        <v>25</v>
      </c>
      <c r="E489" t="s">
        <v>15</v>
      </c>
      <c r="F489" t="s">
        <v>17</v>
      </c>
      <c r="G489" t="s">
        <v>26</v>
      </c>
      <c r="H489" t="s">
        <v>27</v>
      </c>
      <c r="I489" s="3">
        <v>8475</v>
      </c>
      <c r="J489" s="4">
        <v>8</v>
      </c>
      <c r="K489" s="2">
        <v>554.16</v>
      </c>
    </row>
    <row r="490" spans="1:11" x14ac:dyDescent="0.3">
      <c r="A490" s="1">
        <v>45625</v>
      </c>
      <c r="B490" s="4">
        <f t="shared" si="14"/>
        <v>2024</v>
      </c>
      <c r="C490" s="4">
        <f t="shared" si="15"/>
        <v>11</v>
      </c>
      <c r="D490" t="s">
        <v>34</v>
      </c>
      <c r="E490" t="s">
        <v>15</v>
      </c>
      <c r="F490" t="s">
        <v>17</v>
      </c>
      <c r="G490" t="s">
        <v>18</v>
      </c>
      <c r="H490" t="s">
        <v>19</v>
      </c>
      <c r="I490" s="3">
        <v>23713</v>
      </c>
      <c r="J490" s="4">
        <v>10</v>
      </c>
      <c r="K490" s="2">
        <v>1285.98</v>
      </c>
    </row>
    <row r="491" spans="1:11" x14ac:dyDescent="0.3">
      <c r="A491" s="1">
        <v>45626</v>
      </c>
      <c r="B491" s="4">
        <f t="shared" si="14"/>
        <v>2024</v>
      </c>
      <c r="C491" s="4">
        <f t="shared" si="15"/>
        <v>11</v>
      </c>
      <c r="D491" t="s">
        <v>20</v>
      </c>
      <c r="E491" t="s">
        <v>21</v>
      </c>
      <c r="F491" t="s">
        <v>22</v>
      </c>
      <c r="G491" t="s">
        <v>23</v>
      </c>
      <c r="H491" t="s">
        <v>24</v>
      </c>
      <c r="I491" s="3">
        <v>27896</v>
      </c>
      <c r="J491" s="4">
        <v>6</v>
      </c>
      <c r="K491" s="2">
        <v>2557.52</v>
      </c>
    </row>
    <row r="492" spans="1:11" x14ac:dyDescent="0.3">
      <c r="A492" s="1">
        <v>45631</v>
      </c>
      <c r="B492" s="4">
        <f t="shared" si="14"/>
        <v>2024</v>
      </c>
      <c r="C492" s="4">
        <f t="shared" si="15"/>
        <v>12</v>
      </c>
      <c r="D492" t="s">
        <v>45</v>
      </c>
      <c r="E492" t="s">
        <v>39</v>
      </c>
      <c r="F492" t="s">
        <v>11</v>
      </c>
      <c r="G492" t="s">
        <v>53</v>
      </c>
      <c r="H492" t="s">
        <v>54</v>
      </c>
      <c r="I492" s="3">
        <v>41032</v>
      </c>
      <c r="J492" s="4">
        <v>10</v>
      </c>
      <c r="K492" s="2">
        <v>5267.86</v>
      </c>
    </row>
    <row r="493" spans="1:11" x14ac:dyDescent="0.3">
      <c r="A493" s="1">
        <v>45639</v>
      </c>
      <c r="B493" s="4">
        <f t="shared" si="14"/>
        <v>2024</v>
      </c>
      <c r="C493" s="4">
        <f t="shared" si="15"/>
        <v>12</v>
      </c>
      <c r="D493" t="s">
        <v>42</v>
      </c>
      <c r="E493" t="s">
        <v>15</v>
      </c>
      <c r="F493" t="s">
        <v>17</v>
      </c>
      <c r="G493" t="s">
        <v>47</v>
      </c>
      <c r="H493" t="s">
        <v>48</v>
      </c>
      <c r="I493" s="3">
        <v>2231</v>
      </c>
      <c r="J493" s="4">
        <v>7</v>
      </c>
      <c r="K493" s="2">
        <v>426.94</v>
      </c>
    </row>
    <row r="494" spans="1:11" x14ac:dyDescent="0.3">
      <c r="A494" s="1">
        <v>45640</v>
      </c>
      <c r="B494" s="4">
        <f t="shared" si="14"/>
        <v>2024</v>
      </c>
      <c r="C494" s="4">
        <f t="shared" si="15"/>
        <v>12</v>
      </c>
      <c r="D494" t="s">
        <v>16</v>
      </c>
      <c r="E494" t="s">
        <v>15</v>
      </c>
      <c r="F494" t="s">
        <v>22</v>
      </c>
      <c r="G494" t="s">
        <v>23</v>
      </c>
      <c r="H494" t="s">
        <v>60</v>
      </c>
      <c r="I494" s="3">
        <v>13248</v>
      </c>
      <c r="J494" s="4">
        <v>5</v>
      </c>
      <c r="K494" s="2">
        <v>1394.39</v>
      </c>
    </row>
    <row r="495" spans="1:11" x14ac:dyDescent="0.3">
      <c r="A495" s="1">
        <v>45641</v>
      </c>
      <c r="B495" s="4">
        <f t="shared" si="14"/>
        <v>2024</v>
      </c>
      <c r="C495" s="4">
        <f t="shared" si="15"/>
        <v>12</v>
      </c>
      <c r="D495" t="s">
        <v>42</v>
      </c>
      <c r="E495" t="s">
        <v>46</v>
      </c>
      <c r="F495" t="s">
        <v>17</v>
      </c>
      <c r="G495" t="s">
        <v>47</v>
      </c>
      <c r="H495" t="s">
        <v>48</v>
      </c>
      <c r="I495" s="3">
        <v>53376</v>
      </c>
      <c r="J495" s="4">
        <v>7</v>
      </c>
      <c r="K495" s="2">
        <v>5759.9</v>
      </c>
    </row>
    <row r="496" spans="1:11" x14ac:dyDescent="0.3">
      <c r="A496" s="1">
        <v>45645</v>
      </c>
      <c r="B496" s="4">
        <f t="shared" si="14"/>
        <v>2024</v>
      </c>
      <c r="C496" s="4">
        <f t="shared" si="15"/>
        <v>12</v>
      </c>
      <c r="D496" t="s">
        <v>16</v>
      </c>
      <c r="E496" t="s">
        <v>21</v>
      </c>
      <c r="F496" t="s">
        <v>11</v>
      </c>
      <c r="G496" t="s">
        <v>32</v>
      </c>
      <c r="H496" t="s">
        <v>33</v>
      </c>
      <c r="I496" s="3">
        <v>10097</v>
      </c>
      <c r="J496" s="4">
        <v>1</v>
      </c>
      <c r="K496" s="2">
        <v>836.11</v>
      </c>
    </row>
    <row r="497" spans="1:11" x14ac:dyDescent="0.3">
      <c r="A497" s="1">
        <v>45646</v>
      </c>
      <c r="B497" s="4">
        <f t="shared" si="14"/>
        <v>2024</v>
      </c>
      <c r="C497" s="4">
        <f t="shared" si="15"/>
        <v>12</v>
      </c>
      <c r="D497" t="s">
        <v>25</v>
      </c>
      <c r="E497" t="s">
        <v>21</v>
      </c>
      <c r="F497" t="s">
        <v>17</v>
      </c>
      <c r="G497" t="s">
        <v>26</v>
      </c>
      <c r="H497" t="s">
        <v>52</v>
      </c>
      <c r="I497" s="3">
        <v>41559</v>
      </c>
      <c r="J497" s="4">
        <v>1</v>
      </c>
      <c r="K497" s="2">
        <v>3505.14</v>
      </c>
    </row>
    <row r="498" spans="1:11" x14ac:dyDescent="0.3">
      <c r="A498" s="1">
        <v>45648</v>
      </c>
      <c r="B498" s="4">
        <f t="shared" si="14"/>
        <v>2024</v>
      </c>
      <c r="C498" s="4">
        <f t="shared" si="15"/>
        <v>12</v>
      </c>
      <c r="D498" t="s">
        <v>25</v>
      </c>
      <c r="E498" t="s">
        <v>21</v>
      </c>
      <c r="F498" t="s">
        <v>22</v>
      </c>
      <c r="G498" t="s">
        <v>29</v>
      </c>
      <c r="H498" t="s">
        <v>58</v>
      </c>
      <c r="I498" s="3">
        <v>37091</v>
      </c>
      <c r="J498" s="4">
        <v>5</v>
      </c>
      <c r="K498" s="2">
        <v>4496.6899999999996</v>
      </c>
    </row>
    <row r="499" spans="1:11" x14ac:dyDescent="0.3">
      <c r="A499" s="1">
        <v>45653</v>
      </c>
      <c r="B499" s="4">
        <f t="shared" si="14"/>
        <v>2024</v>
      </c>
      <c r="C499" s="4">
        <f t="shared" si="15"/>
        <v>12</v>
      </c>
      <c r="D499" t="s">
        <v>45</v>
      </c>
      <c r="E499" t="s">
        <v>46</v>
      </c>
      <c r="F499" t="s">
        <v>17</v>
      </c>
      <c r="G499" t="s">
        <v>49</v>
      </c>
      <c r="H499" t="s">
        <v>51</v>
      </c>
      <c r="I499" s="3">
        <v>21308</v>
      </c>
      <c r="J499" s="4">
        <v>4</v>
      </c>
      <c r="K499" s="2">
        <v>3499.22</v>
      </c>
    </row>
    <row r="500" spans="1:11" x14ac:dyDescent="0.3">
      <c r="A500" s="1">
        <v>45655</v>
      </c>
      <c r="B500" s="4">
        <f t="shared" si="14"/>
        <v>2024</v>
      </c>
      <c r="C500" s="4">
        <f t="shared" si="15"/>
        <v>12</v>
      </c>
      <c r="D500" t="s">
        <v>9</v>
      </c>
      <c r="E500" t="s">
        <v>21</v>
      </c>
      <c r="F500" t="s">
        <v>11</v>
      </c>
      <c r="G500" t="s">
        <v>12</v>
      </c>
      <c r="H500" t="s">
        <v>13</v>
      </c>
      <c r="I500" s="3">
        <v>59818</v>
      </c>
      <c r="J500" s="4">
        <v>8</v>
      </c>
      <c r="K500" s="2">
        <v>3650.31</v>
      </c>
    </row>
    <row r="501" spans="1:11" x14ac:dyDescent="0.3">
      <c r="A501" s="1">
        <v>45655</v>
      </c>
      <c r="B501" s="4">
        <f t="shared" si="14"/>
        <v>2024</v>
      </c>
      <c r="C501" s="4">
        <f t="shared" si="15"/>
        <v>12</v>
      </c>
      <c r="D501" t="s">
        <v>14</v>
      </c>
      <c r="E501" t="s">
        <v>21</v>
      </c>
      <c r="F501" t="s">
        <v>11</v>
      </c>
      <c r="G501" t="s">
        <v>12</v>
      </c>
      <c r="H501" t="s">
        <v>13</v>
      </c>
      <c r="I501" s="3">
        <v>37991</v>
      </c>
      <c r="J501" s="4">
        <v>2</v>
      </c>
      <c r="K501" s="2">
        <v>4726.92</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A79A8-60D9-466E-AFC1-624EC16F10D3}">
  <dimension ref="A1:E41"/>
  <sheetViews>
    <sheetView tabSelected="1" topLeftCell="A15" workbookViewId="0">
      <selection activeCell="J39" sqref="J39"/>
    </sheetView>
  </sheetViews>
  <sheetFormatPr defaultRowHeight="14.4" x14ac:dyDescent="0.3"/>
  <cols>
    <col min="1" max="1" width="10.109375" customWidth="1"/>
    <col min="2" max="2" width="16.44140625" customWidth="1"/>
    <col min="4" max="4" width="12.5546875" bestFit="1" customWidth="1"/>
    <col min="5" max="5" width="22.6640625" bestFit="1" customWidth="1"/>
  </cols>
  <sheetData>
    <row r="1" spans="1:2" x14ac:dyDescent="0.3">
      <c r="A1" t="s">
        <v>61</v>
      </c>
      <c r="B1" t="s">
        <v>1</v>
      </c>
    </row>
    <row r="2" spans="1:2" x14ac:dyDescent="0.3">
      <c r="A2">
        <v>2021</v>
      </c>
      <c r="B2" t="s">
        <v>16</v>
      </c>
    </row>
    <row r="3" spans="1:2" x14ac:dyDescent="0.3">
      <c r="A3">
        <v>2021</v>
      </c>
      <c r="B3" t="s">
        <v>45</v>
      </c>
    </row>
    <row r="4" spans="1:2" x14ac:dyDescent="0.3">
      <c r="A4">
        <v>2021</v>
      </c>
      <c r="B4" t="s">
        <v>28</v>
      </c>
    </row>
    <row r="5" spans="1:2" x14ac:dyDescent="0.3">
      <c r="A5">
        <v>2021</v>
      </c>
      <c r="B5" t="s">
        <v>34</v>
      </c>
    </row>
    <row r="6" spans="1:2" x14ac:dyDescent="0.3">
      <c r="A6">
        <v>2021</v>
      </c>
      <c r="B6" t="s">
        <v>42</v>
      </c>
    </row>
    <row r="7" spans="1:2" x14ac:dyDescent="0.3">
      <c r="A7">
        <v>2021</v>
      </c>
      <c r="B7" t="s">
        <v>9</v>
      </c>
    </row>
    <row r="8" spans="1:2" x14ac:dyDescent="0.3">
      <c r="A8">
        <v>2021</v>
      </c>
      <c r="B8" t="s">
        <v>57</v>
      </c>
    </row>
    <row r="9" spans="1:2" x14ac:dyDescent="0.3">
      <c r="A9">
        <v>2021</v>
      </c>
      <c r="B9" t="s">
        <v>20</v>
      </c>
    </row>
    <row r="10" spans="1:2" x14ac:dyDescent="0.3">
      <c r="A10">
        <v>2021</v>
      </c>
      <c r="B10" t="s">
        <v>14</v>
      </c>
    </row>
    <row r="11" spans="1:2" x14ac:dyDescent="0.3">
      <c r="A11">
        <v>2021</v>
      </c>
      <c r="B11" t="s">
        <v>25</v>
      </c>
    </row>
    <row r="12" spans="1:2" x14ac:dyDescent="0.3">
      <c r="A12">
        <v>2022</v>
      </c>
      <c r="B12" t="s">
        <v>42</v>
      </c>
    </row>
    <row r="13" spans="1:2" x14ac:dyDescent="0.3">
      <c r="A13">
        <v>2022</v>
      </c>
      <c r="B13" t="s">
        <v>20</v>
      </c>
    </row>
    <row r="14" spans="1:2" x14ac:dyDescent="0.3">
      <c r="A14">
        <v>2022</v>
      </c>
      <c r="B14" t="s">
        <v>16</v>
      </c>
    </row>
    <row r="15" spans="1:2" x14ac:dyDescent="0.3">
      <c r="A15">
        <v>2022</v>
      </c>
      <c r="B15" t="s">
        <v>14</v>
      </c>
    </row>
    <row r="16" spans="1:2" x14ac:dyDescent="0.3">
      <c r="A16">
        <v>2022</v>
      </c>
      <c r="B16" t="s">
        <v>45</v>
      </c>
    </row>
    <row r="17" spans="1:5" x14ac:dyDescent="0.3">
      <c r="A17">
        <v>2022</v>
      </c>
      <c r="B17" t="s">
        <v>57</v>
      </c>
    </row>
    <row r="18" spans="1:5" x14ac:dyDescent="0.3">
      <c r="A18">
        <v>2022</v>
      </c>
      <c r="B18" t="s">
        <v>28</v>
      </c>
    </row>
    <row r="19" spans="1:5" x14ac:dyDescent="0.3">
      <c r="A19">
        <v>2022</v>
      </c>
      <c r="B19" t="s">
        <v>25</v>
      </c>
    </row>
    <row r="20" spans="1:5" x14ac:dyDescent="0.3">
      <c r="A20">
        <v>2022</v>
      </c>
      <c r="B20" t="s">
        <v>34</v>
      </c>
    </row>
    <row r="21" spans="1:5" x14ac:dyDescent="0.3">
      <c r="A21">
        <v>2022</v>
      </c>
      <c r="B21" t="s">
        <v>9</v>
      </c>
    </row>
    <row r="22" spans="1:5" x14ac:dyDescent="0.3">
      <c r="A22">
        <v>2023</v>
      </c>
      <c r="B22" t="s">
        <v>57</v>
      </c>
      <c r="D22" s="5" t="s">
        <v>63</v>
      </c>
      <c r="E22" t="s">
        <v>68</v>
      </c>
    </row>
    <row r="23" spans="1:5" x14ac:dyDescent="0.3">
      <c r="A23">
        <v>2023</v>
      </c>
      <c r="B23" t="s">
        <v>25</v>
      </c>
      <c r="D23" s="6">
        <v>2021</v>
      </c>
      <c r="E23" s="8">
        <v>10</v>
      </c>
    </row>
    <row r="24" spans="1:5" x14ac:dyDescent="0.3">
      <c r="A24">
        <v>2023</v>
      </c>
      <c r="B24" t="s">
        <v>45</v>
      </c>
      <c r="D24" s="6">
        <v>2022</v>
      </c>
      <c r="E24" s="8">
        <v>10</v>
      </c>
    </row>
    <row r="25" spans="1:5" x14ac:dyDescent="0.3">
      <c r="A25">
        <v>2023</v>
      </c>
      <c r="B25" t="s">
        <v>9</v>
      </c>
      <c r="D25" s="6">
        <v>2023</v>
      </c>
      <c r="E25" s="8">
        <v>10</v>
      </c>
    </row>
    <row r="26" spans="1:5" x14ac:dyDescent="0.3">
      <c r="A26">
        <v>2023</v>
      </c>
      <c r="B26" t="s">
        <v>28</v>
      </c>
      <c r="D26" s="6">
        <v>2024</v>
      </c>
      <c r="E26" s="8">
        <v>10</v>
      </c>
    </row>
    <row r="27" spans="1:5" x14ac:dyDescent="0.3">
      <c r="A27">
        <v>2023</v>
      </c>
      <c r="B27" t="s">
        <v>20</v>
      </c>
    </row>
    <row r="28" spans="1:5" x14ac:dyDescent="0.3">
      <c r="A28">
        <v>2023</v>
      </c>
      <c r="B28" t="s">
        <v>16</v>
      </c>
    </row>
    <row r="29" spans="1:5" x14ac:dyDescent="0.3">
      <c r="A29">
        <v>2023</v>
      </c>
      <c r="B29" t="s">
        <v>34</v>
      </c>
    </row>
    <row r="30" spans="1:5" x14ac:dyDescent="0.3">
      <c r="A30">
        <v>2023</v>
      </c>
      <c r="B30" t="s">
        <v>42</v>
      </c>
    </row>
    <row r="31" spans="1:5" x14ac:dyDescent="0.3">
      <c r="A31">
        <v>2023</v>
      </c>
      <c r="B31" t="s">
        <v>14</v>
      </c>
    </row>
    <row r="32" spans="1:5" x14ac:dyDescent="0.3">
      <c r="A32">
        <v>2024</v>
      </c>
      <c r="B32" t="s">
        <v>57</v>
      </c>
    </row>
    <row r="33" spans="1:2" x14ac:dyDescent="0.3">
      <c r="A33">
        <v>2024</v>
      </c>
      <c r="B33" t="s">
        <v>45</v>
      </c>
    </row>
    <row r="34" spans="1:2" x14ac:dyDescent="0.3">
      <c r="A34">
        <v>2024</v>
      </c>
      <c r="B34" t="s">
        <v>28</v>
      </c>
    </row>
    <row r="35" spans="1:2" x14ac:dyDescent="0.3">
      <c r="A35">
        <v>2024</v>
      </c>
      <c r="B35" t="s">
        <v>20</v>
      </c>
    </row>
    <row r="36" spans="1:2" x14ac:dyDescent="0.3">
      <c r="A36">
        <v>2024</v>
      </c>
      <c r="B36" t="s">
        <v>16</v>
      </c>
    </row>
    <row r="37" spans="1:2" x14ac:dyDescent="0.3">
      <c r="A37">
        <v>2024</v>
      </c>
      <c r="B37" t="s">
        <v>42</v>
      </c>
    </row>
    <row r="38" spans="1:2" x14ac:dyDescent="0.3">
      <c r="A38">
        <v>2024</v>
      </c>
      <c r="B38" t="s">
        <v>34</v>
      </c>
    </row>
    <row r="39" spans="1:2" x14ac:dyDescent="0.3">
      <c r="A39">
        <v>2024</v>
      </c>
      <c r="B39" t="s">
        <v>9</v>
      </c>
    </row>
    <row r="40" spans="1:2" x14ac:dyDescent="0.3">
      <c r="A40">
        <v>2024</v>
      </c>
      <c r="B40" t="s">
        <v>14</v>
      </c>
    </row>
    <row r="41" spans="1:2" x14ac:dyDescent="0.3">
      <c r="A41">
        <v>2024</v>
      </c>
      <c r="B41" t="s">
        <v>25</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1103F-DAA9-4D5C-8703-AC3331EC70DE}">
  <dimension ref="A1"/>
  <sheetViews>
    <sheetView workbookViewId="0">
      <selection sqref="A1:A104857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vt:lpstr>
      <vt:lpstr>MonthlySales</vt:lpstr>
      <vt:lpstr>Top5Customer</vt:lpstr>
      <vt:lpstr>SalesbyState</vt:lpstr>
      <vt:lpstr>sales data</vt:lpstr>
      <vt:lpstr>CustomerCount</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sonali mali</cp:lastModifiedBy>
  <dcterms:created xsi:type="dcterms:W3CDTF">2026-05-03T09:37:12Z</dcterms:created>
  <dcterms:modified xsi:type="dcterms:W3CDTF">2026-05-03T11:05:48Z</dcterms:modified>
</cp:coreProperties>
</file>